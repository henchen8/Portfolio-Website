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henrychen/Desktop/portfolio-site/src/assets/"/>
    </mc:Choice>
  </mc:AlternateContent>
  <xr:revisionPtr revIDLastSave="0" documentId="13_ncr:1_{59D03B87-250F-D748-A94E-57353B128C03}" xr6:coauthVersionLast="47" xr6:coauthVersionMax="47" xr10:uidLastSave="{00000000-0000-0000-0000-000000000000}"/>
  <bookViews>
    <workbookView xWindow="0" yWindow="760" windowWidth="30240" windowHeight="18880" activeTab="2" xr2:uid="{00000000-000D-0000-FFFF-FFFF00000000}"/>
  </bookViews>
  <sheets>
    <sheet name="SalesMktg" sheetId="2" r:id="rId1"/>
    <sheet name="Unit Economics" sheetId="3" r:id="rId2"/>
    <sheet name="P&amp;L" sheetId="4" r:id="rId3"/>
  </sheets>
  <definedNames>
    <definedName name="_xlnm._FilterDatabase" localSheetId="0" hidden="1">SalesMktg!$A$18:$P$37</definedName>
    <definedName name="ACQUISITION_COST">#REF!</definedName>
    <definedName name="AMORTIZATION">#REF!</definedName>
    <definedName name="Corporate">#REF!</definedName>
    <definedName name="COST_OF_GOODS___SERVICES">#REF!</definedName>
    <definedName name="EXCESS">#REF!</definedName>
    <definedName name="EXTRAORDINARY_INCOME____EXPENSE">#REF!</definedName>
    <definedName name="General_and_Administration">#REF!</definedName>
    <definedName name="Gross_Profit">#REF!</definedName>
    <definedName name="INCOME_BEFORE_INTEREST___TAXES">#REF!</definedName>
    <definedName name="INCOME_FROM_OPERATIONS">#REF!</definedName>
    <definedName name="INTEREST__EXPENSE">#REF!</definedName>
    <definedName name="Month1">SalesMktg!$B$8</definedName>
    <definedName name="Month10">SalesMktg!$K$8</definedName>
    <definedName name="Month11">SalesMktg!$L$8</definedName>
    <definedName name="Month12">SalesMktg!$M$8</definedName>
    <definedName name="Month2">SalesMktg!$C$8</definedName>
    <definedName name="Month3">SalesMktg!$D$8</definedName>
    <definedName name="Month4">SalesMktg!$E$8</definedName>
    <definedName name="Month5">SalesMktg!$F$8</definedName>
    <definedName name="Month6">SalesMktg!$G$8</definedName>
    <definedName name="Month7">SalesMktg!$H$8</definedName>
    <definedName name="Month8">SalesMktg!$I$8</definedName>
    <definedName name="Month9">SalesMktg!$J$8</definedName>
    <definedName name="NET_INCOME_BEFORE_TAXES">#REF!</definedName>
    <definedName name="NET_REVENUES">#REF!</definedName>
    <definedName name="of_Revenue">#REF!</definedName>
    <definedName name="of_Revenues">#REF!</definedName>
    <definedName name="OPER_EXP_TO_REV">#REF!</definedName>
    <definedName name="OPERATING_EXPENSES">#REF!</definedName>
    <definedName name="Research_and_Development">#REF!</definedName>
    <definedName name="Sales_and_Marketing">#REF!</definedName>
    <definedName name="STD">#REF!</definedName>
    <definedName name="TECH_SUP_COMP">#REF!</definedName>
    <definedName name="TECH_SUPPORT">#REF!</definedName>
    <definedName name="Technical_Support">#REF!</definedName>
    <definedName name="Total_Operating_Expenses">#REF!</definedName>
    <definedName name="Total_Product_Sales">#REF!</definedName>
    <definedName name="Total_Service_Revenue">#REF!</definedName>
    <definedName name="TOTALOTHERASSETS">#REF!</definedName>
    <definedName name="Venture">'Unit Economics'!$A$1</definedName>
    <definedName name="Year_1">SalesMktg!$N$8</definedName>
    <definedName name="Year1">SalesMktg!$N$8</definedName>
    <definedName name="Year2">SalesMktg!$O$8</definedName>
    <definedName name="Year3">SalesMktg!$P$8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QVTJuKhSzzN/iKUEsY00QEolqeMfRA9Di58A5aYiufM="/>
    </ext>
  </extLst>
</workbook>
</file>

<file path=xl/calcChain.xml><?xml version="1.0" encoding="utf-8"?>
<calcChain xmlns="http://schemas.openxmlformats.org/spreadsheetml/2006/main">
  <c r="I16" i="4" l="1"/>
  <c r="N15" i="4"/>
  <c r="K13" i="4"/>
  <c r="K16" i="4" s="1"/>
  <c r="J13" i="4"/>
  <c r="J16" i="4" s="1"/>
  <c r="P3" i="4"/>
  <c r="I3" i="4"/>
  <c r="H3" i="4"/>
  <c r="G3" i="4"/>
  <c r="F3" i="4"/>
  <c r="E3" i="4"/>
  <c r="D3" i="4"/>
  <c r="C3" i="4"/>
  <c r="B3" i="4"/>
  <c r="A1" i="4"/>
  <c r="N37" i="3"/>
  <c r="H34" i="3"/>
  <c r="A34" i="3"/>
  <c r="H33" i="3"/>
  <c r="A33" i="3"/>
  <c r="B32" i="3"/>
  <c r="A32" i="3"/>
  <c r="B31" i="3"/>
  <c r="A31" i="3"/>
  <c r="H26" i="3"/>
  <c r="B26" i="3"/>
  <c r="A26" i="3"/>
  <c r="H25" i="3"/>
  <c r="A25" i="3"/>
  <c r="H24" i="3"/>
  <c r="A24" i="3"/>
  <c r="H23" i="3"/>
  <c r="H28" i="3" s="1"/>
  <c r="H4" i="4" s="1"/>
  <c r="A23" i="3"/>
  <c r="I20" i="3"/>
  <c r="H20" i="3"/>
  <c r="P19" i="3"/>
  <c r="O19" i="3"/>
  <c r="M19" i="3"/>
  <c r="L19" i="3"/>
  <c r="K19" i="3"/>
  <c r="J19" i="3"/>
  <c r="I19" i="3"/>
  <c r="H19" i="3"/>
  <c r="H32" i="3" s="1"/>
  <c r="G19" i="3"/>
  <c r="F19" i="3"/>
  <c r="E19" i="3"/>
  <c r="D19" i="3"/>
  <c r="C19" i="3"/>
  <c r="B19" i="3"/>
  <c r="B25" i="3" s="1"/>
  <c r="P18" i="3"/>
  <c r="O18" i="3"/>
  <c r="O3" i="4" s="1"/>
  <c r="N18" i="3"/>
  <c r="N3" i="4" s="1"/>
  <c r="M18" i="3"/>
  <c r="M3" i="4" s="1"/>
  <c r="L18" i="3"/>
  <c r="L3" i="4" s="1"/>
  <c r="K18" i="3"/>
  <c r="K3" i="4" s="1"/>
  <c r="J18" i="3"/>
  <c r="J3" i="4" s="1"/>
  <c r="I18" i="3"/>
  <c r="H18" i="3"/>
  <c r="G18" i="3"/>
  <c r="F18" i="3"/>
  <c r="E18" i="3"/>
  <c r="D18" i="3"/>
  <c r="C18" i="3"/>
  <c r="B18" i="3"/>
  <c r="K39" i="2"/>
  <c r="J39" i="2"/>
  <c r="P37" i="2"/>
  <c r="O37" i="2"/>
  <c r="M37" i="2"/>
  <c r="L37" i="2"/>
  <c r="K37" i="2"/>
  <c r="J37" i="2"/>
  <c r="I37" i="2"/>
  <c r="H37" i="2"/>
  <c r="G37" i="2"/>
  <c r="F37" i="2"/>
  <c r="E37" i="2"/>
  <c r="D37" i="2"/>
  <c r="C37" i="2"/>
  <c r="B37" i="2"/>
  <c r="M35" i="2"/>
  <c r="L35" i="2"/>
  <c r="N34" i="2"/>
  <c r="N32" i="2"/>
  <c r="N37" i="2" s="1"/>
  <c r="N31" i="2"/>
  <c r="E30" i="2"/>
  <c r="D30" i="2"/>
  <c r="N29" i="2"/>
  <c r="N28" i="2"/>
  <c r="H27" i="2"/>
  <c r="H30" i="2" s="1"/>
  <c r="G27" i="2"/>
  <c r="G30" i="2" s="1"/>
  <c r="F27" i="2"/>
  <c r="F30" i="2" s="1"/>
  <c r="N26" i="2"/>
  <c r="N25" i="2"/>
  <c r="P24" i="2"/>
  <c r="P27" i="2" s="1"/>
  <c r="P30" i="2" s="1"/>
  <c r="P33" i="2" s="1"/>
  <c r="O24" i="2"/>
  <c r="O27" i="2" s="1"/>
  <c r="O30" i="2" s="1"/>
  <c r="O33" i="2" s="1"/>
  <c r="I24" i="2"/>
  <c r="I27" i="2" s="1"/>
  <c r="I30" i="2" s="1"/>
  <c r="H24" i="2"/>
  <c r="N23" i="2"/>
  <c r="N22" i="2"/>
  <c r="M21" i="2"/>
  <c r="M24" i="2" s="1"/>
  <c r="M27" i="2" s="1"/>
  <c r="M30" i="2" s="1"/>
  <c r="M33" i="2" s="1"/>
  <c r="L21" i="2"/>
  <c r="L24" i="2" s="1"/>
  <c r="L27" i="2" s="1"/>
  <c r="L30" i="2" s="1"/>
  <c r="L33" i="2" s="1"/>
  <c r="K21" i="2"/>
  <c r="K24" i="2" s="1"/>
  <c r="K27" i="2" s="1"/>
  <c r="K30" i="2" s="1"/>
  <c r="J21" i="2"/>
  <c r="N21" i="2" s="1"/>
  <c r="I21" i="2"/>
  <c r="H21" i="2"/>
  <c r="G21" i="2"/>
  <c r="G24" i="2" s="1"/>
  <c r="F21" i="2"/>
  <c r="F24" i="2" s="1"/>
  <c r="E21" i="2"/>
  <c r="E24" i="2" s="1"/>
  <c r="E27" i="2" s="1"/>
  <c r="D21" i="2"/>
  <c r="D24" i="2" s="1"/>
  <c r="D27" i="2" s="1"/>
  <c r="C21" i="2"/>
  <c r="C24" i="2" s="1"/>
  <c r="C27" i="2" s="1"/>
  <c r="C30" i="2" s="1"/>
  <c r="B21" i="2"/>
  <c r="B24" i="2" s="1"/>
  <c r="N20" i="2"/>
  <c r="P16" i="2"/>
  <c r="P39" i="2" s="1"/>
  <c r="P13" i="4" s="1"/>
  <c r="P16" i="4" s="1"/>
  <c r="O16" i="2"/>
  <c r="O39" i="2" s="1"/>
  <c r="O13" i="4" s="1"/>
  <c r="O16" i="4" s="1"/>
  <c r="M16" i="2"/>
  <c r="M39" i="2" s="1"/>
  <c r="M13" i="4" s="1"/>
  <c r="M16" i="4" s="1"/>
  <c r="L16" i="2"/>
  <c r="L39" i="2" s="1"/>
  <c r="L13" i="4" s="1"/>
  <c r="L16" i="4" s="1"/>
  <c r="K16" i="2"/>
  <c r="J16" i="2"/>
  <c r="I16" i="2"/>
  <c r="I39" i="2" s="1"/>
  <c r="I13" i="4" s="1"/>
  <c r="H16" i="2"/>
  <c r="H39" i="2" s="1"/>
  <c r="H13" i="4" s="1"/>
  <c r="H16" i="4" s="1"/>
  <c r="G16" i="2"/>
  <c r="G39" i="2" s="1"/>
  <c r="G13" i="4" s="1"/>
  <c r="G16" i="4" s="1"/>
  <c r="F16" i="2"/>
  <c r="F39" i="2" s="1"/>
  <c r="F13" i="4" s="1"/>
  <c r="F16" i="4" s="1"/>
  <c r="E16" i="2"/>
  <c r="E39" i="2" s="1"/>
  <c r="E13" i="4" s="1"/>
  <c r="E16" i="4" s="1"/>
  <c r="D16" i="2"/>
  <c r="D39" i="2" s="1"/>
  <c r="D13" i="4" s="1"/>
  <c r="D16" i="4" s="1"/>
  <c r="C16" i="2"/>
  <c r="C39" i="2" s="1"/>
  <c r="C13" i="4" s="1"/>
  <c r="C16" i="4" s="1"/>
  <c r="B16" i="2"/>
  <c r="B39" i="2" s="1"/>
  <c r="B13" i="4" s="1"/>
  <c r="B16" i="4" s="1"/>
  <c r="N14" i="2"/>
  <c r="N13" i="2"/>
  <c r="N12" i="2"/>
  <c r="N11" i="2"/>
  <c r="N16" i="2" s="1"/>
  <c r="N39" i="2" s="1"/>
  <c r="N13" i="4" s="1"/>
  <c r="N16" i="4" s="1"/>
  <c r="A1" i="2"/>
  <c r="C35" i="2" l="1"/>
  <c r="C33" i="2"/>
  <c r="K35" i="2"/>
  <c r="K33" i="2"/>
  <c r="H7" i="4"/>
  <c r="H10" i="4"/>
  <c r="H9" i="4"/>
  <c r="H19" i="4" s="1"/>
  <c r="H24" i="4"/>
  <c r="F35" i="2"/>
  <c r="F33" i="2"/>
  <c r="G35" i="2"/>
  <c r="G33" i="2"/>
  <c r="H33" i="2"/>
  <c r="H35" i="2"/>
  <c r="H17" i="4"/>
  <c r="I32" i="3"/>
  <c r="N19" i="3"/>
  <c r="I31" i="3"/>
  <c r="I26" i="3"/>
  <c r="I25" i="3"/>
  <c r="I24" i="3"/>
  <c r="I34" i="3"/>
  <c r="I23" i="3"/>
  <c r="I28" i="3" s="1"/>
  <c r="I4" i="4" s="1"/>
  <c r="G33" i="3"/>
  <c r="J25" i="3"/>
  <c r="K20" i="3"/>
  <c r="K32" i="3" s="1"/>
  <c r="B36" i="3"/>
  <c r="B6" i="4" s="1"/>
  <c r="E33" i="2"/>
  <c r="E35" i="2"/>
  <c r="J24" i="2"/>
  <c r="J27" i="2" s="1"/>
  <c r="J30" i="2" s="1"/>
  <c r="J20" i="3"/>
  <c r="J31" i="3" s="1"/>
  <c r="E34" i="3"/>
  <c r="I33" i="3"/>
  <c r="B27" i="2"/>
  <c r="D35" i="2"/>
  <c r="D33" i="2"/>
  <c r="O25" i="3"/>
  <c r="I35" i="2"/>
  <c r="I33" i="2"/>
  <c r="C24" i="3"/>
  <c r="D24" i="3"/>
  <c r="F33" i="3"/>
  <c r="K25" i="3"/>
  <c r="B23" i="3"/>
  <c r="C33" i="3"/>
  <c r="E20" i="3"/>
  <c r="C23" i="3"/>
  <c r="O24" i="3"/>
  <c r="M25" i="3"/>
  <c r="H31" i="3"/>
  <c r="H36" i="3" s="1"/>
  <c r="H6" i="4" s="1"/>
  <c r="B34" i="3"/>
  <c r="C20" i="3"/>
  <c r="O23" i="3"/>
  <c r="D20" i="3"/>
  <c r="D33" i="3" s="1"/>
  <c r="F20" i="3"/>
  <c r="D23" i="3"/>
  <c r="B24" i="3"/>
  <c r="N20" i="3"/>
  <c r="O20" i="3" s="1"/>
  <c r="O33" i="3"/>
  <c r="O34" i="3"/>
  <c r="G20" i="3"/>
  <c r="D34" i="3"/>
  <c r="L20" i="3"/>
  <c r="L24" i="3" s="1"/>
  <c r="M20" i="3"/>
  <c r="L23" i="3"/>
  <c r="B33" i="3"/>
  <c r="M32" i="3" l="1"/>
  <c r="M31" i="3"/>
  <c r="I10" i="4"/>
  <c r="I9" i="4"/>
  <c r="I19" i="4" s="1"/>
  <c r="I7" i="4"/>
  <c r="I24" i="4"/>
  <c r="I17" i="4"/>
  <c r="P20" i="3"/>
  <c r="O32" i="3"/>
  <c r="O31" i="3"/>
  <c r="O36" i="3" s="1"/>
  <c r="O6" i="4" s="1"/>
  <c r="O26" i="3"/>
  <c r="O28" i="3" s="1"/>
  <c r="O4" i="4" s="1"/>
  <c r="L25" i="3"/>
  <c r="L28" i="3" s="1"/>
  <c r="L4" i="4" s="1"/>
  <c r="M23" i="3"/>
  <c r="M34" i="3"/>
  <c r="J34" i="3"/>
  <c r="B30" i="2"/>
  <c r="N27" i="2"/>
  <c r="E32" i="3"/>
  <c r="E31" i="3"/>
  <c r="E26" i="3"/>
  <c r="E25" i="3"/>
  <c r="E24" i="3"/>
  <c r="J35" i="2"/>
  <c r="J33" i="2"/>
  <c r="M26" i="3"/>
  <c r="E23" i="3"/>
  <c r="G26" i="3"/>
  <c r="G31" i="3"/>
  <c r="G25" i="3"/>
  <c r="G24" i="3"/>
  <c r="G23" i="3"/>
  <c r="G28" i="3" s="1"/>
  <c r="G4" i="4" s="1"/>
  <c r="G34" i="3"/>
  <c r="H21" i="4"/>
  <c r="H23" i="4" s="1"/>
  <c r="I36" i="3"/>
  <c r="I6" i="4" s="1"/>
  <c r="K24" i="3"/>
  <c r="N24" i="3"/>
  <c r="J26" i="3"/>
  <c r="L33" i="3"/>
  <c r="L32" i="3"/>
  <c r="L31" i="3"/>
  <c r="F23" i="3"/>
  <c r="F26" i="3"/>
  <c r="F25" i="3"/>
  <c r="F31" i="3"/>
  <c r="F34" i="3"/>
  <c r="F24" i="3"/>
  <c r="D31" i="3"/>
  <c r="D32" i="3"/>
  <c r="D26" i="3"/>
  <c r="D25" i="3"/>
  <c r="D28" i="3" s="1"/>
  <c r="D4" i="4" s="1"/>
  <c r="J32" i="3"/>
  <c r="J36" i="3" s="1"/>
  <c r="J6" i="4" s="1"/>
  <c r="C32" i="3"/>
  <c r="C31" i="3"/>
  <c r="C26" i="3"/>
  <c r="C25" i="3"/>
  <c r="C28" i="3" s="1"/>
  <c r="C4" i="4" s="1"/>
  <c r="N23" i="3"/>
  <c r="B28" i="3"/>
  <c r="B4" i="4" s="1"/>
  <c r="M24" i="3"/>
  <c r="J33" i="3"/>
  <c r="C34" i="3"/>
  <c r="N34" i="3" s="1"/>
  <c r="N24" i="2"/>
  <c r="E33" i="3"/>
  <c r="N33" i="3" s="1"/>
  <c r="F32" i="3"/>
  <c r="K34" i="3"/>
  <c r="J23" i="3"/>
  <c r="G32" i="3"/>
  <c r="K23" i="3"/>
  <c r="L34" i="3"/>
  <c r="J24" i="3"/>
  <c r="M33" i="3"/>
  <c r="L26" i="3"/>
  <c r="K26" i="3"/>
  <c r="K33" i="3"/>
  <c r="K31" i="3"/>
  <c r="K36" i="3" s="1"/>
  <c r="K6" i="4" s="1"/>
  <c r="O9" i="4" l="1"/>
  <c r="O19" i="4" s="1"/>
  <c r="O24" i="4"/>
  <c r="O17" i="4"/>
  <c r="O10" i="4"/>
  <c r="O7" i="4"/>
  <c r="C17" i="4"/>
  <c r="C10" i="4"/>
  <c r="C7" i="4"/>
  <c r="C24" i="4"/>
  <c r="L7" i="4"/>
  <c r="L24" i="4"/>
  <c r="L17" i="4"/>
  <c r="L10" i="4"/>
  <c r="D7" i="4"/>
  <c r="D17" i="4"/>
  <c r="D10" i="4"/>
  <c r="D24" i="4"/>
  <c r="I21" i="4"/>
  <c r="I23" i="4" s="1"/>
  <c r="K28" i="3"/>
  <c r="K4" i="4" s="1"/>
  <c r="N31" i="3"/>
  <c r="N36" i="3" s="1"/>
  <c r="N6" i="4" s="1"/>
  <c r="C36" i="3"/>
  <c r="C6" i="4" s="1"/>
  <c r="C9" i="4" s="1"/>
  <c r="C19" i="4" s="1"/>
  <c r="M36" i="3"/>
  <c r="M6" i="4" s="1"/>
  <c r="D36" i="3"/>
  <c r="D6" i="4" s="1"/>
  <c r="D9" i="4" s="1"/>
  <c r="D19" i="4" s="1"/>
  <c r="P31" i="3"/>
  <c r="P32" i="3"/>
  <c r="P26" i="3"/>
  <c r="P34" i="3"/>
  <c r="P25" i="3"/>
  <c r="P23" i="3"/>
  <c r="P33" i="3"/>
  <c r="P24" i="3"/>
  <c r="B24" i="4"/>
  <c r="B17" i="4"/>
  <c r="B10" i="4"/>
  <c r="B7" i="4"/>
  <c r="B9" i="4"/>
  <c r="B19" i="4" s="1"/>
  <c r="N26" i="3"/>
  <c r="F28" i="3"/>
  <c r="F4" i="4" s="1"/>
  <c r="L36" i="3"/>
  <c r="L6" i="4" s="1"/>
  <c r="L9" i="4" s="1"/>
  <c r="L19" i="4" s="1"/>
  <c r="G36" i="3"/>
  <c r="G6" i="4" s="1"/>
  <c r="E36" i="3"/>
  <c r="E6" i="4" s="1"/>
  <c r="F36" i="3"/>
  <c r="F6" i="4" s="1"/>
  <c r="G9" i="4"/>
  <c r="G19" i="4" s="1"/>
  <c r="G10" i="4"/>
  <c r="G7" i="4"/>
  <c r="G24" i="4"/>
  <c r="G17" i="4"/>
  <c r="N25" i="3"/>
  <c r="N28" i="3" s="1"/>
  <c r="N4" i="4" s="1"/>
  <c r="N30" i="2"/>
  <c r="B35" i="2"/>
  <c r="B33" i="2"/>
  <c r="N33" i="2" s="1"/>
  <c r="J28" i="3"/>
  <c r="J4" i="4" s="1"/>
  <c r="N32" i="3"/>
  <c r="E28" i="3"/>
  <c r="E4" i="4" s="1"/>
  <c r="M28" i="3"/>
  <c r="M4" i="4" s="1"/>
  <c r="L21" i="4" l="1"/>
  <c r="L23" i="4" s="1"/>
  <c r="D21" i="4"/>
  <c r="D23" i="4"/>
  <c r="C21" i="4"/>
  <c r="C23" i="4" s="1"/>
  <c r="N24" i="4"/>
  <c r="N17" i="4"/>
  <c r="N10" i="4"/>
  <c r="N9" i="4"/>
  <c r="N19" i="4" s="1"/>
  <c r="N7" i="4"/>
  <c r="F17" i="4"/>
  <c r="F10" i="4"/>
  <c r="F9" i="4"/>
  <c r="F19" i="4" s="1"/>
  <c r="F7" i="4"/>
  <c r="F24" i="4"/>
  <c r="P36" i="3"/>
  <c r="P6" i="4" s="1"/>
  <c r="K9" i="4"/>
  <c r="K19" i="4" s="1"/>
  <c r="K24" i="4"/>
  <c r="K7" i="4"/>
  <c r="K17" i="4"/>
  <c r="K10" i="4"/>
  <c r="N35" i="2"/>
  <c r="B36" i="2"/>
  <c r="C36" i="2" s="1"/>
  <c r="D36" i="2" s="1"/>
  <c r="E36" i="2" s="1"/>
  <c r="F36" i="2" s="1"/>
  <c r="G36" i="2" s="1"/>
  <c r="H36" i="2" s="1"/>
  <c r="I36" i="2" s="1"/>
  <c r="J36" i="2" s="1"/>
  <c r="K36" i="2" s="1"/>
  <c r="L36" i="2" s="1"/>
  <c r="M36" i="2" s="1"/>
  <c r="N36" i="2" s="1"/>
  <c r="O36" i="2" s="1"/>
  <c r="P36" i="2" s="1"/>
  <c r="B21" i="4"/>
  <c r="B23" i="4" s="1"/>
  <c r="G21" i="4"/>
  <c r="G23" i="4" s="1"/>
  <c r="M17" i="4"/>
  <c r="M24" i="4"/>
  <c r="M10" i="4"/>
  <c r="M7" i="4"/>
  <c r="M9" i="4"/>
  <c r="M19" i="4" s="1"/>
  <c r="E7" i="4"/>
  <c r="E17" i="4"/>
  <c r="E10" i="4"/>
  <c r="E9" i="4"/>
  <c r="E19" i="4" s="1"/>
  <c r="E24" i="4"/>
  <c r="P28" i="3"/>
  <c r="P4" i="4" s="1"/>
  <c r="J10" i="4"/>
  <c r="J9" i="4"/>
  <c r="J19" i="4" s="1"/>
  <c r="J7" i="4"/>
  <c r="J24" i="4"/>
  <c r="J17" i="4"/>
  <c r="O21" i="4"/>
  <c r="O23" i="4" s="1"/>
  <c r="P24" i="4" l="1"/>
  <c r="P17" i="4"/>
  <c r="P9" i="4"/>
  <c r="P19" i="4" s="1"/>
  <c r="P7" i="4"/>
  <c r="P10" i="4"/>
  <c r="J21" i="4"/>
  <c r="J23" i="4"/>
  <c r="N21" i="4"/>
  <c r="N23" i="4" s="1"/>
  <c r="F21" i="4"/>
  <c r="F23" i="4" s="1"/>
  <c r="K21" i="4"/>
  <c r="K23" i="4"/>
  <c r="E21" i="4"/>
  <c r="E23" i="4" s="1"/>
  <c r="M21" i="4"/>
  <c r="M23" i="4" s="1"/>
  <c r="P21" i="4" l="1"/>
  <c r="P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100-00000B000000}">
      <text>
        <r>
          <rPr>
            <sz val="10"/>
            <color rgb="FF000000"/>
            <rFont val="Arimo"/>
            <scheme val="minor"/>
          </rPr>
          <t>======
ID#AAABSbQqArI
Çağrı Dirik    (2024-07-25 04:20:50)
We don't prefer to hire an employee in charge of marketing activities int he first year to minimize expenses. Instead we would like to dedicate $500 monthly for social media advertisement, cost per thousand impressions in particular</t>
        </r>
      </text>
    </comment>
    <comment ref="C20" authorId="0" shapeId="0" xr:uid="{00000000-0006-0000-0100-000008000000}">
      <text>
        <r>
          <rPr>
            <sz val="10"/>
            <color rgb="FF000000"/>
            <rFont val="Arimo"/>
            <scheme val="minor"/>
          </rPr>
          <t>======
ID#AAABSbQqArs
Çağrı Dirik    (2024-07-25 05:13:58)
We would maintain the same social media investment in the first year of the start-up until gaining considerable amount of profit</t>
        </r>
      </text>
    </comment>
    <comment ref="G20" authorId="0" shapeId="0" xr:uid="{00000000-0006-0000-0100-000002000000}">
      <text>
        <r>
          <rPr>
            <sz val="10"/>
            <color rgb="FF000000"/>
            <rFont val="Arimo"/>
            <scheme val="minor"/>
          </rPr>
          <t>======
ID#AAABSubU71A
Çağrı Dirik    (2024-07-26 01:08:37)
We want to allocate more resources in winter and spring because people are inclined to care about their physical health and appearance before summer more.</t>
        </r>
      </text>
    </comment>
    <comment ref="B21" authorId="0" shapeId="0" xr:uid="{00000000-0006-0000-0100-00000A000000}">
      <text>
        <r>
          <rPr>
            <sz val="10"/>
            <color rgb="FF000000"/>
            <rFont val="Arimo"/>
            <scheme val="minor"/>
          </rPr>
          <t>======
ID#AAABSbQqArQ
Çağrı Dirik    (2024-07-25 04:23:13)
Cost per thousand in X, Instagram, and Youtube are $6.5, $7.9, $9.7 respectively. These are the major social media platforms high school and college students use. Average CPM is $8.5 (emphasize Instagram and YouTube more than X). With a budget of $500, we can reach 58.8 thousand people on average
https://www.investopedia.com/terms/c/cpm.asp</t>
        </r>
      </text>
    </comment>
    <comment ref="B22" authorId="0" shapeId="0" xr:uid="{00000000-0006-0000-0100-00000C000000}">
      <text>
        <r>
          <rPr>
            <sz val="10"/>
            <color rgb="FF000000"/>
            <rFont val="Arimo"/>
            <scheme val="minor"/>
          </rPr>
          <t>======
ID#AAABSbQqArA
Çağrı Dirik    (2024-07-25 04:06:43)
According to data from TikTok shop, conversion rates are around 1%
https://www.varos.com/blog/best-practices-to-improve-tiktok-ad-conversion-rate
The conversion rate of social media platforms are between 2-5% per month. We get the average value of 3.5%, yet CRs differ among platforms.
https://www.shno.co/startup-metrics/social-media-conversion-rate</t>
        </r>
      </text>
    </comment>
    <comment ref="B23" authorId="0" shapeId="0" xr:uid="{00000000-0006-0000-0100-000009000000}">
      <text>
        <r>
          <rPr>
            <sz val="10"/>
            <color rgb="FF000000"/>
            <rFont val="Arimo"/>
            <scheme val="minor"/>
          </rPr>
          <t>======
ID#AAABSbQqArk
Çağrı Dirik    (2024-07-25 05:10:23)
Minimum budget for digital advertising on campus is $500 and $25 for posters. Getting the average and adding up the time that will be spent for visiting campuses, $300 is a reasonable marketing expense.
https://www.bluelinemedia.com/college-university-campus-advertising</t>
        </r>
      </text>
    </comment>
    <comment ref="B25" authorId="0" shapeId="0" xr:uid="{00000000-0006-0000-0100-000007000000}">
      <text>
        <r>
          <rPr>
            <sz val="10"/>
            <color rgb="FF000000"/>
            <rFont val="Arimo"/>
            <scheme val="minor"/>
          </rPr>
          <t>======
ID#AAABSbQqArw
Çağrı Dirik    (2024-07-25 05:23:02)
The conversion rate of a physical event is between 3-5%, on average 4%.
https://blog.xoxoday.com/cx/engagement-strategy-for-on-ground-events/</t>
        </r>
      </text>
    </comment>
    <comment ref="B26" authorId="0" shapeId="0" xr:uid="{00000000-0006-0000-0100-000004000000}">
      <text>
        <r>
          <rPr>
            <sz val="10"/>
            <color rgb="FF000000"/>
            <rFont val="Arimo"/>
            <scheme val="minor"/>
          </rPr>
          <t>======
ID#AAABSubU704
Çağrı Dirik    (2024-07-26 00:55:04)
$10 discount costs $820 when 82 people buy our product.</t>
        </r>
      </text>
    </comment>
    <comment ref="B28" authorId="0" shapeId="0" xr:uid="{00000000-0006-0000-0100-000003000000}">
      <text>
        <r>
          <rPr>
            <sz val="10"/>
            <color rgb="FF000000"/>
            <rFont val="Arimo"/>
            <scheme val="minor"/>
          </rPr>
          <t>======
ID#AAABSubU708
Çağrı Dirik    (2024-07-26 00:56:15)
Coupon conversion rate for beauty and wellness sector is between 10% and 15%. We get the average of 12.5%.
https://vibetrace.com/coupon-conversion-rate/</t>
        </r>
      </text>
    </comment>
    <comment ref="G28" authorId="0" shapeId="0" xr:uid="{00000000-0006-0000-0100-000001000000}">
      <text>
        <r>
          <rPr>
            <sz val="10"/>
            <color rgb="FF000000"/>
            <rFont val="Arimo"/>
            <scheme val="minor"/>
          </rPr>
          <t>======
ID#AAABSubU71E
Çağrı Dirik    (2024-07-26 01:13:11)
Conversion rate of a discount would increase slightly in winter and spring since people would be more interested in our product.</t>
        </r>
      </text>
    </comment>
    <comment ref="B29" authorId="0" shapeId="0" xr:uid="{00000000-0006-0000-0100-000006000000}">
      <text>
        <r>
          <rPr>
            <sz val="10"/>
            <color rgb="FF000000"/>
            <rFont val="Arimo"/>
            <scheme val="minor"/>
          </rPr>
          <t>======
ID#AAABSbQqAsQ
Çağrı Dirik    (2024-07-25 05:43:13)
It costs on average $320 for a fitness and healthcare influencer to share an advertising content of your product.
https://blog.xoxoday.com/cx/engagement-strategy-for-on-ground-events/</t>
        </r>
      </text>
    </comment>
    <comment ref="B31" authorId="0" shapeId="0" xr:uid="{00000000-0006-0000-0100-000005000000}">
      <text>
        <r>
          <rPr>
            <sz val="10"/>
            <color rgb="FF000000"/>
            <rFont val="Arimo"/>
            <scheme val="minor"/>
          </rPr>
          <t>======
ID#AAABSbQqAsc
Çağrı Dirik    (2024-07-25 05:49:34)
60% of social media users consider buying a product when promoted by an influencer on social media.
https://digitalmarketinginstitute.com/blog/20-influencer-marketing-statistics-that-will-surprise-you</t>
        </r>
      </text>
    </comment>
  </commentList>
  <extLst>
    <ext xmlns:r="http://schemas.openxmlformats.org/officeDocument/2006/relationships" uri="GoogleSheetsCustomDataVersion2">
      <go:sheetsCustomData xmlns:go="http://customooxmlschemas.google.com/" r:id="rId1" roundtripDataSignature="AMtx7mhdMezVsHoaZD0uEM/42KFRGKxay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1" authorId="0" shapeId="0" xr:uid="{00000000-0006-0000-0200-000002000000}">
      <text>
        <r>
          <rPr>
            <sz val="10"/>
            <color rgb="FF000000"/>
            <rFont val="Arimo"/>
            <scheme val="minor"/>
          </rPr>
          <t>======
ID#AAABSubU71I
Crystal Yang    (2024-07-26 01:26:40)
The average churn rate for fitness apps is about 25%, as reported by Statista, reflecting the challenges these platforms face in retaining users. In contrast, Tonal, a high-end fitness product, has a significantly lower churn rate of 1%, due to its advanced features and user investment.
FitBox, being a physical product with advantages over digital apps but not as advanced as Tonal, would likely have a churn rate between these figures. Considering these factors, a reasonable estimate for FitBox's churn rate would be around 10%. This estimate balances the higher churn rates of digital apps with the more favorable retention seen in physical products.
https://www.statista.com/outlook/hmo/digital-health/digital-fitness-well-being/health-wellness-coaching/fitness-apps/worldwide#analyst-opinion
https://gymnation.com/blogs/tonal-ai-and-strength-training-for-home-fitness-savings/#:~:text=While%20other%20at%2Dhome%20fitness,million%20in%20annual%20recurring%20revenue.</t>
        </r>
      </text>
    </comment>
    <comment ref="H12" authorId="0" shapeId="0" xr:uid="{00000000-0006-0000-0200-000005000000}">
      <text>
        <r>
          <rPr>
            <sz val="10"/>
            <color rgb="FF000000"/>
            <rFont val="Arimo"/>
            <scheme val="minor"/>
          </rPr>
          <t>======
ID#AAABSYbBv0Q
Jeffrey Babin    (2024-07-22 21:59:34)
per customer</t>
        </r>
      </text>
    </comment>
    <comment ref="J12" authorId="0" shapeId="0" xr:uid="{00000000-0006-0000-0200-000004000000}">
      <text>
        <r>
          <rPr>
            <sz val="10"/>
            <color rgb="FF000000"/>
            <rFont val="Arimo"/>
            <scheme val="minor"/>
          </rPr>
          <t>======
ID#AAABSYbBv0I
Jeffrey Babin    (2024-07-22 21:59:34)
per customer</t>
        </r>
      </text>
    </comment>
    <comment ref="D14" authorId="0" shapeId="0" xr:uid="{00000000-0006-0000-0200-000003000000}">
      <text>
        <r>
          <rPr>
            <sz val="10"/>
            <color rgb="FF000000"/>
            <rFont val="Arimo"/>
            <scheme val="minor"/>
          </rPr>
          <t>======
ID#AAABSbQqArg
Çağrı Dirik    (2024-07-25 04:39:58)
Average monthly subscription fee of mostly used mobile fitness apps is $17.5. Our product has to be more affordable than the average.
https://www.cnet.com/health/fitness/best-streaming-workout-subscriptions/</t>
        </r>
      </text>
    </comment>
    <comment ref="I14" authorId="0" shapeId="0" xr:uid="{00000000-0006-0000-0200-000001000000}">
      <text>
        <r>
          <rPr>
            <sz val="10"/>
            <color rgb="FF000000"/>
            <rFont val="Arimo"/>
            <scheme val="minor"/>
          </rPr>
          <t>======
ID#AAABSubU71M
Crystal Yang    (2024-07-26 01:30:09)
Both the Apple App Store and Google Play Store typically charge a fee for hosting your app. For instance, Apple takes a 15-30% cut of in-app purchases and subscriptions. Google charges a similar fee for transactions on its platform.
https://www.theverge.com/21445923/platform-fees-apps-games-business-marketplace-apple-google</t>
        </r>
      </text>
    </comment>
  </commentList>
  <extLst>
    <ext xmlns:r="http://schemas.openxmlformats.org/officeDocument/2006/relationships" uri="GoogleSheetsCustomDataVersion2">
      <go:sheetsCustomData xmlns:go="http://customooxmlschemas.google.com/" r:id="rId1" roundtripDataSignature="AMtx7mgBFzIgzNk1i2RIkcy0E2uwbfzq9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300-000019000000}">
      <text>
        <r>
          <rPr>
            <sz val="10"/>
            <color rgb="FF000000"/>
            <rFont val="Arimo"/>
            <scheme val="minor"/>
          </rPr>
          <t>======
ID#AAABSYbBv0U
Jeffrey Babin    (2024-07-22 21:59:34)
NOTE: Replace generic "MonthX" or "YearY" with the actual month and year.</t>
        </r>
      </text>
    </comment>
    <comment ref="B14" authorId="0" shapeId="0" xr:uid="{00000000-0006-0000-0300-000018000000}">
      <text>
        <r>
          <rPr>
            <sz val="10"/>
            <color rgb="FF000000"/>
            <rFont val="Arimo"/>
            <scheme val="minor"/>
          </rPr>
          <t>======
ID#AAABSubU71Q
Viraj Kamath    (2024-07-26 01:39:27)
The initial phase of product development typically involves significant costs for prototyping, testing, and early-stage software development.</t>
        </r>
      </text>
    </comment>
    <comment ref="C14" authorId="0" shapeId="0" xr:uid="{00000000-0006-0000-0300-000017000000}">
      <text>
        <r>
          <rPr>
            <sz val="10"/>
            <color rgb="FF000000"/>
            <rFont val="Arimo"/>
            <scheme val="minor"/>
          </rPr>
          <t>======
ID#AAABSubU71U
Viraj Kamath    (2024-07-26 01:39:52)
The initial phase of product development typically involves significant costs for prototyping, testing, and early-stage software development.</t>
        </r>
      </text>
    </comment>
    <comment ref="D14" authorId="0" shapeId="0" xr:uid="{00000000-0006-0000-0300-000014000000}">
      <text>
        <r>
          <rPr>
            <sz val="10"/>
            <color rgb="FF000000"/>
            <rFont val="Arimo"/>
            <scheme val="minor"/>
          </rPr>
          <t>======
ID#AAABSubU71g
Viraj Kamath    (2024-07-26 01:40:45)
The initial phase of product development typically involves significant costs for prototyping, testing, and early-stage software development.</t>
        </r>
      </text>
    </comment>
    <comment ref="E14" authorId="0" shapeId="0" xr:uid="{00000000-0006-0000-0300-000015000000}">
      <text>
        <r>
          <rPr>
            <sz val="10"/>
            <color rgb="FF000000"/>
            <rFont val="Arimo"/>
            <scheme val="minor"/>
          </rPr>
          <t>======
ID#AAABSubU71c
Viraj Kamath    (2024-07-26 01:40:38)
The initial phase of product development typically involves significant costs for prototyping, testing, and early-stage software development.</t>
        </r>
      </text>
    </comment>
    <comment ref="F14" authorId="0" shapeId="0" xr:uid="{00000000-0006-0000-0300-000016000000}">
      <text>
        <r>
          <rPr>
            <sz val="10"/>
            <color rgb="FF000000"/>
            <rFont val="Arimo"/>
            <scheme val="minor"/>
          </rPr>
          <t>======
ID#AAABSubU71Y
Viraj Kamath    (2024-07-26 01:40:32)
The initial phase of product development typically involves significant costs for prototyping, testing, and early-stage software development.</t>
        </r>
      </text>
    </comment>
    <comment ref="G14" authorId="0" shapeId="0" xr:uid="{00000000-0006-0000-0300-000013000000}">
      <text>
        <r>
          <rPr>
            <sz val="10"/>
            <color rgb="FF000000"/>
            <rFont val="Arimo"/>
            <scheme val="minor"/>
          </rPr>
          <t>======
ID#AAABSubU71k
Viraj Kamath    (2024-07-26 01:50:03)
As development progresses, additional funds may be required for refining the product, integrating new features, and preparing for production scaling</t>
        </r>
      </text>
    </comment>
    <comment ref="H14" authorId="0" shapeId="0" xr:uid="{00000000-0006-0000-0300-000012000000}">
      <text>
        <r>
          <rPr>
            <sz val="10"/>
            <color rgb="FF000000"/>
            <rFont val="Arimo"/>
            <scheme val="minor"/>
          </rPr>
          <t>======
ID#AAABSubU71o
Viraj Kamath    (2024-07-26 01:50:09)
As development progresses, additional funds may be required for refining the product, integrating new features, and preparing for production scaling</t>
        </r>
      </text>
    </comment>
    <comment ref="I14" authorId="0" shapeId="0" xr:uid="{00000000-0006-0000-0300-000011000000}">
      <text>
        <r>
          <rPr>
            <sz val="10"/>
            <color rgb="FF000000"/>
            <rFont val="Arimo"/>
            <scheme val="minor"/>
          </rPr>
          <t>======
ID#AAABSubU71s
Viraj Kamath    (2024-07-26 01:50:14)
As development progresses, additional funds may be required for refining the product, integrating new features, and preparing for production scaling</t>
        </r>
      </text>
    </comment>
    <comment ref="J14" authorId="0" shapeId="0" xr:uid="{00000000-0006-0000-0300-000010000000}">
      <text>
        <r>
          <rPr>
            <sz val="10"/>
            <color rgb="FF000000"/>
            <rFont val="Arimo"/>
            <scheme val="minor"/>
          </rPr>
          <t>======
ID#AAABSubU71w
Viraj Kamath    (2024-07-26 01:50:20)
As development progresses, additional funds may be required for refining the product, integrating new features, and preparing for production scaling</t>
        </r>
      </text>
    </comment>
    <comment ref="K14" authorId="0" shapeId="0" xr:uid="{00000000-0006-0000-0300-00000F000000}">
      <text>
        <r>
          <rPr>
            <sz val="10"/>
            <color rgb="FF000000"/>
            <rFont val="Arimo"/>
            <scheme val="minor"/>
          </rPr>
          <t>======
ID#AAABSubU710
Viraj Kamath    (2024-07-26 01:50:28)
As development progresses, additional funds may be required for refining the product, integrating new features, and preparing for production scaling</t>
        </r>
      </text>
    </comment>
    <comment ref="L14" authorId="0" shapeId="0" xr:uid="{00000000-0006-0000-0300-00000E000000}">
      <text>
        <r>
          <rPr>
            <sz val="10"/>
            <color rgb="FF000000"/>
            <rFont val="Arimo"/>
            <scheme val="minor"/>
          </rPr>
          <t>======
ID#AAABSubU714
Viraj Kamath    (2024-07-26 01:50:34)
As development progresses, additional funds may be required for refining the product, integrating new features, and preparing for production scaling</t>
        </r>
      </text>
    </comment>
    <comment ref="M14" authorId="0" shapeId="0" xr:uid="{00000000-0006-0000-0300-000001000000}">
      <text>
        <r>
          <rPr>
            <sz val="10"/>
            <color rgb="FF000000"/>
            <rFont val="Arimo"/>
            <scheme val="minor"/>
          </rPr>
          <t>======
ID#AAABSubU72s
Viraj Kamath    (2024-07-26 01:53:49)
As development progresses, additional funds may be required for refining the product, integrating new features, and preparing for production scaling</t>
        </r>
      </text>
    </comment>
    <comment ref="B15" authorId="0" shapeId="0" xr:uid="{00000000-0006-0000-0300-00000D000000}">
      <text>
        <r>
          <rPr>
            <sz val="10"/>
            <color rgb="FF000000"/>
            <rFont val="Arimo"/>
            <scheme val="minor"/>
          </rPr>
          <t>======
ID#AAABSubU718
Viraj Kamath    (2024-07-26 01:52:23)
G&amp;A expenses include administrative staff salaries, office expenses, legal fees, and other overheads. For a startup, maintaining lean operations is crucial to conserve resources for core development</t>
        </r>
      </text>
    </comment>
    <comment ref="C15" authorId="0" shapeId="0" xr:uid="{00000000-0006-0000-0300-00000C000000}">
      <text>
        <r>
          <rPr>
            <sz val="10"/>
            <color rgb="FF000000"/>
            <rFont val="Arimo"/>
            <scheme val="minor"/>
          </rPr>
          <t>======
ID#AAABSubU72A
Viraj Kamath    (2024-07-26 01:52:31)
G&amp;A expenses include administrative staff salaries, office expenses, legal fees, and other overheads. For a startup, maintaining lean operations is crucial to conserve resources for core development</t>
        </r>
      </text>
    </comment>
    <comment ref="D15" authorId="0" shapeId="0" xr:uid="{00000000-0006-0000-0300-00000B000000}">
      <text>
        <r>
          <rPr>
            <sz val="10"/>
            <color rgb="FF000000"/>
            <rFont val="Arimo"/>
            <scheme val="minor"/>
          </rPr>
          <t>======
ID#AAABSubU72E
Viraj Kamath    (2024-07-26 01:52:36)
G&amp;A expenses include administrative staff salaries, office expenses, legal fees, and other overheads. For a startup, maintaining lean operations is crucial to conserve resources for core development</t>
        </r>
      </text>
    </comment>
    <comment ref="E15" authorId="0" shapeId="0" xr:uid="{00000000-0006-0000-0300-00000A000000}">
      <text>
        <r>
          <rPr>
            <sz val="10"/>
            <color rgb="FF000000"/>
            <rFont val="Arimo"/>
            <scheme val="minor"/>
          </rPr>
          <t>======
ID#AAABSubU72I
Viraj Kamath    (2024-07-26 01:52:44)
G&amp;A expenses include administrative staff salaries, office expenses, legal fees, and other overheads. For a startup, maintaining lean operations is crucial to conserve resources for core development</t>
        </r>
      </text>
    </comment>
    <comment ref="F15" authorId="0" shapeId="0" xr:uid="{00000000-0006-0000-0300-000009000000}">
      <text>
        <r>
          <rPr>
            <sz val="10"/>
            <color rgb="FF000000"/>
            <rFont val="Arimo"/>
            <scheme val="minor"/>
          </rPr>
          <t>======
ID#AAABSubU72M
Viraj Kamath    (2024-07-26 01:52:53)
G&amp;A expenses include administrative staff salaries, office expenses, legal fees, and other overheads. For a startup, maintaining lean operations is crucial to conserve resources for core development</t>
        </r>
      </text>
    </comment>
    <comment ref="G15" authorId="0" shapeId="0" xr:uid="{00000000-0006-0000-0300-000008000000}">
      <text>
        <r>
          <rPr>
            <sz val="10"/>
            <color rgb="FF000000"/>
            <rFont val="Arimo"/>
            <scheme val="minor"/>
          </rPr>
          <t>======
ID#AAABSubU72Q
Viraj Kamath    (2024-07-26 01:52:59)
G&amp;A expenses include administrative staff salaries, office expenses, legal fees, and other overheads. For a startup, maintaining lean operations is crucial to conserve resources for core development</t>
        </r>
      </text>
    </comment>
    <comment ref="H15" authorId="0" shapeId="0" xr:uid="{00000000-0006-0000-0300-000007000000}">
      <text>
        <r>
          <rPr>
            <sz val="10"/>
            <color rgb="FF000000"/>
            <rFont val="Arimo"/>
            <scheme val="minor"/>
          </rPr>
          <t>======
ID#AAABSubU72U
Viraj Kamath    (2024-07-26 01:53:03)
G&amp;A expenses include administrative staff salaries, office expenses, legal fees, and other overheads. For a startup, maintaining lean operations is crucial to conserve resources for core development</t>
        </r>
      </text>
    </comment>
    <comment ref="I15" authorId="0" shapeId="0" xr:uid="{00000000-0006-0000-0300-000006000000}">
      <text>
        <r>
          <rPr>
            <sz val="10"/>
            <color rgb="FF000000"/>
            <rFont val="Arimo"/>
            <scheme val="minor"/>
          </rPr>
          <t>======
ID#AAABSubU72Y
Viraj Kamath    (2024-07-26 01:53:09)
G&amp;A expenses include administrative staff salaries, office expenses, legal fees, and other overheads. For a startup, maintaining lean operations is crucial to conserve resources for core development</t>
        </r>
      </text>
    </comment>
    <comment ref="J15" authorId="0" shapeId="0" xr:uid="{00000000-0006-0000-0300-000005000000}">
      <text>
        <r>
          <rPr>
            <sz val="10"/>
            <color rgb="FF000000"/>
            <rFont val="Arimo"/>
            <scheme val="minor"/>
          </rPr>
          <t>======
ID#AAABSubU72c
Viraj Kamath    (2024-07-26 01:53:18)
G&amp;A expenses include administrative staff salaries, office expenses, legal fees, and other overheads. For a startup, maintaining lean operations is crucial to conserve resources for core development</t>
        </r>
      </text>
    </comment>
    <comment ref="K15" authorId="0" shapeId="0" xr:uid="{00000000-0006-0000-0300-000004000000}">
      <text>
        <r>
          <rPr>
            <sz val="10"/>
            <color rgb="FF000000"/>
            <rFont val="Arimo"/>
            <scheme val="minor"/>
          </rPr>
          <t>======
ID#AAABSubU72g
Viraj Kamath    (2024-07-26 01:53:27)
G&amp;A expenses include administrative staff salaries, office expenses, legal fees, and other overheads. For a startup, maintaining lean operations is crucial to conserve resources for core development</t>
        </r>
      </text>
    </comment>
    <comment ref="L15" authorId="0" shapeId="0" xr:uid="{00000000-0006-0000-0300-000003000000}">
      <text>
        <r>
          <rPr>
            <sz val="10"/>
            <color rgb="FF000000"/>
            <rFont val="Arimo"/>
            <scheme val="minor"/>
          </rPr>
          <t>======
ID#AAABSubU72k
Viraj Kamath    (2024-07-26 01:53:31)
G&amp;A expenses include administrative staff salaries, office expenses, legal fees, and other overheads. For a startup, maintaining lean operations is crucial to conserve resources for core development</t>
        </r>
      </text>
    </comment>
    <comment ref="M15" authorId="0" shapeId="0" xr:uid="{00000000-0006-0000-0300-000002000000}">
      <text>
        <r>
          <rPr>
            <sz val="10"/>
            <color rgb="FF000000"/>
            <rFont val="Arimo"/>
            <scheme val="minor"/>
          </rPr>
          <t>======
ID#AAABSubU72o
Viraj Kamath    (2024-07-26 01:53:36)
G&amp;A expenses include administrative staff salaries, office expenses, legal fees, and other overheads. For a startup, maintaining lean operations is crucial to conserve resources for core development</t>
        </r>
      </text>
    </comment>
  </commentList>
  <extLst>
    <ext xmlns:r="http://schemas.openxmlformats.org/officeDocument/2006/relationships" uri="GoogleSheetsCustomDataVersion2">
      <go:sheetsCustomData xmlns:go="http://customooxmlschemas.google.com/" r:id="rId1" roundtripDataSignature="AMtx7mjfiBcytT2S7qpPgBwJHFRZxrMSfQ=="/>
    </ext>
  </extLst>
</comments>
</file>

<file path=xl/sharedStrings.xml><?xml version="1.0" encoding="utf-8"?>
<sst xmlns="http://schemas.openxmlformats.org/spreadsheetml/2006/main" count="95" uniqueCount="70">
  <si>
    <t>Sales &amp; Marketing Expenses</t>
  </si>
  <si>
    <t xml:space="preserve">Develop a list of general and conversion marketing activities. </t>
  </si>
  <si>
    <t>Think about how the number &amp; type of marketing activities and conversion work together to yield customers (EX. X emails--&gt;y meetings &amp; demo--&gt;sale</t>
  </si>
  <si>
    <t>Provide rates to convert prospects from one activity to the next.</t>
  </si>
  <si>
    <t>Create yours on this worksheet and be sure that the bottom line sales &amp; marketing expense is reflected in the monthly and annual sums highlighted in yellow. These will be referenced in the P&amp;L worksheet.</t>
  </si>
  <si>
    <t>Marketing activities</t>
  </si>
  <si>
    <t>2024-25</t>
  </si>
  <si>
    <t>2025-26</t>
  </si>
  <si>
    <t>2026-27</t>
  </si>
  <si>
    <t>General sales &amp; marketing expense</t>
  </si>
  <si>
    <t>[these activities support the company and existing customers and may not lead directly to new customers. Enter activity description &amp; cost.]</t>
  </si>
  <si>
    <t>TikTok/Instagram/Viral Videos</t>
  </si>
  <si>
    <t>On-campus exhibitons such as during PE classes</t>
  </si>
  <si>
    <t>Initial Discounts</t>
  </si>
  <si>
    <t>Fitness Influencers</t>
  </si>
  <si>
    <t>Total general sales &amp; marketing</t>
  </si>
  <si>
    <t>Conversion activities</t>
  </si>
  <si>
    <t>[these activities work together to lead prospects through a pipeline, yielding a new customer. For each prospect activity, provide the expense, the number of prospects it generates, and the percentage conversion to the next activity. You may copy as many rows of propect activities as you’d like, however, the final activity, Customer Sale Activity, converts to a new customer.]</t>
  </si>
  <si>
    <t>Prospects</t>
  </si>
  <si>
    <t>Conversion rate</t>
  </si>
  <si>
    <t>On-campus exhibitions</t>
  </si>
  <si>
    <t>Fitness Influencers &amp; Micro Influencers</t>
  </si>
  <si>
    <t>Customer sale activity</t>
  </si>
  <si>
    <t>Net New Customers</t>
  </si>
  <si>
    <t>Total customers</t>
  </si>
  <si>
    <t>Total Conversion sales &amp; Marketing Expense</t>
  </si>
  <si>
    <t>Total Sales &amp; Marketing Expenses</t>
  </si>
  <si>
    <t>FitBox</t>
  </si>
  <si>
    <t>Unit economics</t>
  </si>
  <si>
    <t>Develop a clear model of revenue.</t>
  </si>
  <si>
    <t>Provide line items that reflects the units, price of your offering</t>
  </si>
  <si>
    <t>together with those that are one time purchase or recurring revenue.</t>
  </si>
  <si>
    <t>Since there are so many variations to revenue models,</t>
  </si>
  <si>
    <t>Create yours on this worksheet and be sure that the bottom line</t>
  </si>
  <si>
    <t>revenue number is reflected in the monthly and annual sums</t>
  </si>
  <si>
    <t>highlighted in yellow. These will be referenced in the P&amp;L worksheet.</t>
  </si>
  <si>
    <t>Revenue Streams</t>
  </si>
  <si>
    <t>Cost of Goods Sold (COGS)</t>
  </si>
  <si>
    <t>Avg Customer Churn Rate</t>
  </si>
  <si>
    <t>Initial Purchase</t>
  </si>
  <si>
    <t>Monthly Recurring</t>
  </si>
  <si>
    <t>Initial COGS</t>
  </si>
  <si>
    <t>Offering description</t>
  </si>
  <si>
    <t>Price</t>
  </si>
  <si>
    <t>Unit</t>
  </si>
  <si>
    <t>Cost</t>
  </si>
  <si>
    <t>FitBox Gym Machine + Free Mobile App</t>
  </si>
  <si>
    <t>per machine</t>
  </si>
  <si>
    <t>per customer</t>
  </si>
  <si>
    <t>Premium Model for the Mobile App</t>
  </si>
  <si>
    <t>Customers</t>
  </si>
  <si>
    <t>New customers</t>
  </si>
  <si>
    <t>Existing cusomters</t>
  </si>
  <si>
    <t>Revenue</t>
  </si>
  <si>
    <t>Total Revenue</t>
  </si>
  <si>
    <t>COGS</t>
  </si>
  <si>
    <t>Total COGS</t>
  </si>
  <si>
    <t>Income Statement</t>
  </si>
  <si>
    <t>Net Revenues</t>
  </si>
  <si>
    <t>Costs of Goods Sold</t>
  </si>
  <si>
    <t xml:space="preserve">          % of Revenues</t>
  </si>
  <si>
    <t>Gross Profit</t>
  </si>
  <si>
    <t>Operating Expenses</t>
  </si>
  <si>
    <t xml:space="preserve">   Sales &amp; Marketing</t>
  </si>
  <si>
    <t xml:space="preserve">   Research &amp; Development</t>
  </si>
  <si>
    <t xml:space="preserve">   General and Administration</t>
  </si>
  <si>
    <t xml:space="preserve">      Total Operating Expenses</t>
  </si>
  <si>
    <t>Earnings from Operations</t>
  </si>
  <si>
    <t>Taxes (enter tax rate below; 0 if no Earnings)</t>
  </si>
  <si>
    <t>Net Earnings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</si>
</sst>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mmmm\ yyyy"/>
    <numFmt numFmtId="165" formatCode="_(* #,##0_);_(* \(#,##0\);_(* &quot;-&quot;??_);_(@_)"/>
    <numFmt numFmtId="166" formatCode="0.0%"/>
  </numFmts>
  <fonts count="34">
    <font>
      <sz val="10"/>
      <color rgb="FF000000"/>
      <name val="Arimo"/>
      <scheme val="minor"/>
    </font>
    <font>
      <b/>
      <sz val="18"/>
      <color theme="1"/>
      <name val="Aptos Narrow"/>
    </font>
    <font>
      <sz val="12"/>
      <color theme="1"/>
      <name val="Aptos Narrow"/>
    </font>
    <font>
      <b/>
      <sz val="12"/>
      <color theme="1"/>
      <name val="Aptos Narrow"/>
    </font>
    <font>
      <sz val="12"/>
      <color theme="1"/>
      <name val="Arimo"/>
    </font>
    <font>
      <b/>
      <u/>
      <sz val="12"/>
      <color theme="1"/>
      <name val="Aptos Narrow"/>
    </font>
    <font>
      <b/>
      <u/>
      <sz val="12"/>
      <color theme="1"/>
      <name val="Arial"/>
      <family val="2"/>
    </font>
    <font>
      <b/>
      <u/>
      <sz val="12"/>
      <color theme="1"/>
      <name val="Arial"/>
      <family val="2"/>
    </font>
    <font>
      <b/>
      <sz val="12"/>
      <color theme="1"/>
      <name val="Arial"/>
      <family val="2"/>
    </font>
    <font>
      <b/>
      <u/>
      <sz val="12"/>
      <color theme="1"/>
      <name val="Aptos Narrow"/>
    </font>
    <font>
      <b/>
      <u/>
      <sz val="12"/>
      <color theme="1"/>
      <name val="Aptos Narrow"/>
    </font>
    <font>
      <sz val="12"/>
      <color theme="1"/>
      <name val="Arial"/>
      <family val="2"/>
    </font>
    <font>
      <b/>
      <u/>
      <sz val="12"/>
      <color theme="1"/>
      <name val="Arial"/>
      <family val="2"/>
    </font>
    <font>
      <b/>
      <u/>
      <sz val="12"/>
      <color theme="1"/>
      <name val="Arial"/>
      <family val="2"/>
    </font>
    <font>
      <b/>
      <u/>
      <sz val="12"/>
      <color theme="1"/>
      <name val="Aptos Narrow"/>
    </font>
    <font>
      <b/>
      <u/>
      <sz val="12"/>
      <color theme="1"/>
      <name val="Aptos Narrow"/>
    </font>
    <font>
      <u/>
      <sz val="12"/>
      <color theme="1"/>
      <name val="Aptos Narrow"/>
    </font>
    <font>
      <b/>
      <sz val="12"/>
      <color theme="1"/>
      <name val="Arimo"/>
    </font>
    <font>
      <b/>
      <sz val="18"/>
      <color theme="1"/>
      <name val="Play"/>
    </font>
    <font>
      <b/>
      <u/>
      <sz val="12"/>
      <color theme="1"/>
      <name val="Aptos Narrow"/>
    </font>
    <font>
      <b/>
      <u/>
      <sz val="12"/>
      <color theme="1"/>
      <name val="Arial"/>
      <family val="2"/>
    </font>
    <font>
      <b/>
      <u/>
      <sz val="12"/>
      <color theme="1"/>
      <name val="&quot;Aptos Narrow&quot;"/>
    </font>
    <font>
      <b/>
      <u/>
      <sz val="12"/>
      <color theme="1"/>
      <name val="&quot;Aptos Narrow&quot;"/>
    </font>
    <font>
      <b/>
      <u/>
      <sz val="12"/>
      <color theme="1"/>
      <name val="&quot;Aptos Narrow&quot;"/>
    </font>
    <font>
      <sz val="12"/>
      <color theme="1"/>
      <name val="&quot;Aptos Narrow&quot;"/>
    </font>
    <font>
      <sz val="10"/>
      <color theme="1"/>
      <name val="Arimo"/>
    </font>
    <font>
      <b/>
      <u/>
      <sz val="12"/>
      <color theme="1"/>
      <name val="&quot;Aptos Narrow&quot;"/>
    </font>
    <font>
      <b/>
      <sz val="12"/>
      <color theme="1"/>
      <name val="&quot;Aptos Narrow&quot;"/>
    </font>
    <font>
      <u/>
      <sz val="12"/>
      <color theme="1"/>
      <name val="&quot;Aptos Narrow&quot;"/>
    </font>
    <font>
      <b/>
      <u/>
      <sz val="12"/>
      <color theme="1"/>
      <name val="&quot;Aptos Narrow&quot;"/>
    </font>
    <font>
      <b/>
      <u/>
      <sz val="12"/>
      <color theme="1"/>
      <name val="Aptos Narrow"/>
    </font>
    <font>
      <b/>
      <u/>
      <sz val="12"/>
      <color theme="1"/>
      <name val="Aptos Narrow"/>
    </font>
    <font>
      <u/>
      <sz val="12"/>
      <color theme="1"/>
      <name val="Aptos Narrow"/>
    </font>
    <font>
      <b/>
      <u/>
      <sz val="12"/>
      <color theme="1"/>
      <name val="Aptos Narrow"/>
    </font>
  </fonts>
  <fills count="4">
    <fill>
      <patternFill patternType="none"/>
    </fill>
    <fill>
      <patternFill patternType="gray125"/>
    </fill>
    <fill>
      <patternFill patternType="solid">
        <fgColor rgb="FFD9F2D0"/>
        <bgColor rgb="FFD9F2D0"/>
      </patternFill>
    </fill>
    <fill>
      <patternFill patternType="solid">
        <fgColor rgb="FFFFFFCC"/>
        <bgColor rgb="FFFFFFCC"/>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quotePrefix="1" applyFont="1" applyAlignment="1">
      <alignment horizontal="left"/>
    </xf>
    <xf numFmtId="164" fontId="6" fillId="2" borderId="1" xfId="0" applyNumberFormat="1" applyFont="1" applyFill="1" applyBorder="1" applyAlignment="1">
      <alignment horizontal="center"/>
    </xf>
    <xf numFmtId="0" fontId="7" fillId="2" borderId="1" xfId="0" applyFont="1" applyFill="1" applyBorder="1" applyAlignment="1">
      <alignment horizontal="center"/>
    </xf>
    <xf numFmtId="0" fontId="8" fillId="0" borderId="0" xfId="0" applyFont="1"/>
    <xf numFmtId="0" fontId="9" fillId="0" borderId="0" xfId="0" applyFont="1" applyAlignment="1">
      <alignment horizontal="right"/>
    </xf>
    <xf numFmtId="43" fontId="3" fillId="0" borderId="0" xfId="0" applyNumberFormat="1" applyFont="1" applyAlignment="1">
      <alignment horizontal="center"/>
    </xf>
    <xf numFmtId="0" fontId="10" fillId="0" borderId="0" xfId="0" applyFont="1" applyAlignment="1">
      <alignment horizontal="center"/>
    </xf>
    <xf numFmtId="0" fontId="2" fillId="0" borderId="0" xfId="0" quotePrefix="1" applyFont="1" applyAlignment="1">
      <alignment vertical="top" wrapText="1"/>
    </xf>
    <xf numFmtId="0" fontId="11" fillId="2" borderId="1" xfId="0" applyFont="1" applyFill="1" applyBorder="1" applyAlignment="1">
      <alignment horizontal="left"/>
    </xf>
    <xf numFmtId="44" fontId="12" fillId="2" borderId="2" xfId="0" applyNumberFormat="1" applyFont="1" applyFill="1" applyBorder="1" applyAlignment="1">
      <alignment horizontal="right"/>
    </xf>
    <xf numFmtId="44" fontId="3" fillId="3" borderId="1" xfId="0" applyNumberFormat="1" applyFont="1" applyFill="1" applyBorder="1" applyAlignment="1">
      <alignment horizontal="center"/>
    </xf>
    <xf numFmtId="44" fontId="13" fillId="2" borderId="2" xfId="0" applyNumberFormat="1" applyFont="1" applyFill="1" applyBorder="1" applyAlignment="1">
      <alignment horizontal="center"/>
    </xf>
    <xf numFmtId="44" fontId="3" fillId="0" borderId="0" xfId="0" applyNumberFormat="1" applyFont="1" applyAlignment="1">
      <alignment horizontal="center"/>
    </xf>
    <xf numFmtId="0" fontId="3" fillId="0" borderId="0" xfId="0" applyFont="1" applyAlignment="1">
      <alignment horizontal="left"/>
    </xf>
    <xf numFmtId="44" fontId="14" fillId="3" borderId="1" xfId="0" applyNumberFormat="1" applyFont="1" applyFill="1" applyBorder="1" applyAlignment="1">
      <alignment horizontal="right"/>
    </xf>
    <xf numFmtId="0" fontId="11" fillId="0" borderId="0" xfId="0" quotePrefix="1" applyFont="1" applyAlignment="1">
      <alignment vertical="top" wrapText="1"/>
    </xf>
    <xf numFmtId="0" fontId="11" fillId="0" borderId="0" xfId="0" applyFont="1" applyAlignment="1">
      <alignment horizontal="left"/>
    </xf>
    <xf numFmtId="44" fontId="11" fillId="2" borderId="2" xfId="0" applyNumberFormat="1" applyFont="1" applyFill="1" applyBorder="1" applyAlignment="1">
      <alignment horizontal="right"/>
    </xf>
    <xf numFmtId="44" fontId="2" fillId="3" borderId="1" xfId="0" applyNumberFormat="1" applyFont="1" applyFill="1" applyBorder="1" applyAlignment="1">
      <alignment horizontal="center"/>
    </xf>
    <xf numFmtId="165" fontId="11" fillId="2" borderId="2" xfId="0" applyNumberFormat="1" applyFont="1" applyFill="1" applyBorder="1" applyAlignment="1">
      <alignment horizontal="right"/>
    </xf>
    <xf numFmtId="165" fontId="2" fillId="3" borderId="1" xfId="0" applyNumberFormat="1" applyFont="1" applyFill="1" applyBorder="1" applyAlignment="1">
      <alignment horizontal="center"/>
    </xf>
    <xf numFmtId="0" fontId="2" fillId="0" borderId="0" xfId="0" applyFont="1" applyAlignment="1">
      <alignment horizontal="left"/>
    </xf>
    <xf numFmtId="166" fontId="11" fillId="2" borderId="2" xfId="0" applyNumberFormat="1" applyFont="1" applyFill="1" applyBorder="1" applyAlignment="1">
      <alignment horizontal="right"/>
    </xf>
    <xf numFmtId="9" fontId="2" fillId="3" borderId="1" xfId="0" applyNumberFormat="1" applyFont="1" applyFill="1" applyBorder="1" applyAlignment="1">
      <alignment horizontal="center"/>
    </xf>
    <xf numFmtId="9" fontId="11" fillId="2" borderId="2" xfId="0" applyNumberFormat="1" applyFont="1" applyFill="1" applyBorder="1" applyAlignment="1">
      <alignment horizontal="right"/>
    </xf>
    <xf numFmtId="44" fontId="2" fillId="2" borderId="2" xfId="0" applyNumberFormat="1" applyFont="1" applyFill="1" applyBorder="1" applyAlignment="1">
      <alignment horizontal="right"/>
    </xf>
    <xf numFmtId="165" fontId="2" fillId="3" borderId="1" xfId="0" applyNumberFormat="1" applyFont="1" applyFill="1" applyBorder="1" applyAlignment="1">
      <alignment horizontal="right"/>
    </xf>
    <xf numFmtId="9" fontId="2" fillId="2" borderId="2" xfId="0" applyNumberFormat="1" applyFont="1" applyFill="1" applyBorder="1" applyAlignment="1">
      <alignment horizontal="right"/>
    </xf>
    <xf numFmtId="0" fontId="2" fillId="2" borderId="2" xfId="0" applyFont="1" applyFill="1" applyBorder="1" applyAlignment="1">
      <alignment horizontal="right"/>
    </xf>
    <xf numFmtId="0" fontId="3" fillId="3" borderId="1" xfId="0" applyFont="1" applyFill="1" applyBorder="1"/>
    <xf numFmtId="165" fontId="15" fillId="3" borderId="1" xfId="0" applyNumberFormat="1" applyFont="1" applyFill="1" applyBorder="1" applyAlignment="1">
      <alignment horizontal="right"/>
    </xf>
    <xf numFmtId="165" fontId="3" fillId="3" borderId="1" xfId="0" applyNumberFormat="1" applyFont="1" applyFill="1" applyBorder="1"/>
    <xf numFmtId="165" fontId="8" fillId="3" borderId="1" xfId="0" applyNumberFormat="1" applyFont="1" applyFill="1" applyBorder="1"/>
    <xf numFmtId="165" fontId="4" fillId="3" borderId="1" xfId="0" applyNumberFormat="1" applyFont="1" applyFill="1" applyBorder="1"/>
    <xf numFmtId="44" fontId="16" fillId="3" borderId="1" xfId="0" applyNumberFormat="1" applyFont="1" applyFill="1" applyBorder="1" applyAlignment="1">
      <alignment horizontal="right"/>
    </xf>
    <xf numFmtId="44" fontId="17" fillId="3" borderId="1" xfId="0" applyNumberFormat="1" applyFont="1" applyFill="1" applyBorder="1"/>
    <xf numFmtId="0" fontId="18" fillId="0" borderId="0" xfId="0" applyFont="1"/>
    <xf numFmtId="10" fontId="11" fillId="2" borderId="2" xfId="0" applyNumberFormat="1" applyFont="1" applyFill="1" applyBorder="1"/>
    <xf numFmtId="0" fontId="19" fillId="0" borderId="0" xfId="0" applyFont="1" applyAlignment="1">
      <alignment horizontal="left"/>
    </xf>
    <xf numFmtId="0" fontId="20" fillId="0" borderId="0" xfId="0" applyFont="1" applyAlignment="1">
      <alignment horizontal="center"/>
    </xf>
    <xf numFmtId="0" fontId="11" fillId="2" borderId="2" xfId="0" applyFont="1" applyFill="1" applyBorder="1" applyAlignment="1">
      <alignment horizontal="left"/>
    </xf>
    <xf numFmtId="44" fontId="11" fillId="2" borderId="2" xfId="0" applyNumberFormat="1" applyFont="1" applyFill="1" applyBorder="1" applyAlignment="1">
      <alignment horizontal="center"/>
    </xf>
    <xf numFmtId="0" fontId="11" fillId="2" borderId="2" xfId="0" applyFont="1" applyFill="1" applyBorder="1" applyAlignment="1">
      <alignment horizontal="center"/>
    </xf>
    <xf numFmtId="0" fontId="11" fillId="2" borderId="0" xfId="0" applyFont="1" applyFill="1" applyAlignment="1">
      <alignment horizontal="left"/>
    </xf>
    <xf numFmtId="44" fontId="11" fillId="2" borderId="0" xfId="0" applyNumberFormat="1" applyFont="1" applyFill="1" applyAlignment="1">
      <alignment horizontal="center"/>
    </xf>
    <xf numFmtId="0" fontId="11" fillId="2" borderId="0" xfId="0" applyFont="1" applyFill="1" applyAlignment="1">
      <alignment horizontal="center"/>
    </xf>
    <xf numFmtId="0" fontId="11" fillId="0" borderId="0" xfId="0" applyFont="1"/>
    <xf numFmtId="0" fontId="21" fillId="0" borderId="0" xfId="0" quotePrefix="1" applyFont="1"/>
    <xf numFmtId="164" fontId="22" fillId="3" borderId="0" xfId="0" applyNumberFormat="1" applyFont="1" applyFill="1" applyAlignment="1">
      <alignment horizontal="center"/>
    </xf>
    <xf numFmtId="0" fontId="23" fillId="3" borderId="0" xfId="0" applyFont="1" applyFill="1" applyAlignment="1">
      <alignment horizontal="center"/>
    </xf>
    <xf numFmtId="0" fontId="24" fillId="0" borderId="0" xfId="0" applyFont="1"/>
    <xf numFmtId="165" fontId="24" fillId="3" borderId="0" xfId="0" applyNumberFormat="1" applyFont="1" applyFill="1" applyAlignment="1">
      <alignment horizontal="right"/>
    </xf>
    <xf numFmtId="0" fontId="24" fillId="0" borderId="0" xfId="0" applyFont="1" applyAlignment="1">
      <alignment vertical="top"/>
    </xf>
    <xf numFmtId="165" fontId="11" fillId="3" borderId="0" xfId="0" applyNumberFormat="1" applyFont="1" applyFill="1" applyAlignment="1">
      <alignment horizontal="right"/>
    </xf>
    <xf numFmtId="0" fontId="25" fillId="0" borderId="0" xfId="0" applyFont="1"/>
    <xf numFmtId="0" fontId="26" fillId="0" borderId="0" xfId="0" quotePrefix="1" applyFont="1"/>
    <xf numFmtId="0" fontId="24" fillId="3" borderId="0" xfId="0" applyFont="1" applyFill="1"/>
    <xf numFmtId="44" fontId="24" fillId="3" borderId="0" xfId="0" applyNumberFormat="1" applyFont="1" applyFill="1" applyAlignment="1">
      <alignment horizontal="right"/>
    </xf>
    <xf numFmtId="44" fontId="27" fillId="3" borderId="0" xfId="0" applyNumberFormat="1" applyFont="1" applyFill="1" applyAlignment="1">
      <alignment horizontal="center"/>
    </xf>
    <xf numFmtId="44" fontId="28" fillId="3" borderId="0" xfId="0" applyNumberFormat="1" applyFont="1" applyFill="1" applyAlignment="1">
      <alignment horizontal="right"/>
    </xf>
    <xf numFmtId="44" fontId="29" fillId="3" borderId="0" xfId="0" applyNumberFormat="1" applyFont="1" applyFill="1" applyAlignment="1">
      <alignment horizontal="center"/>
    </xf>
    <xf numFmtId="43" fontId="25" fillId="0" borderId="0" xfId="0" applyNumberFormat="1" applyFont="1"/>
    <xf numFmtId="0" fontId="27" fillId="0" borderId="0" xfId="0" applyFont="1"/>
    <xf numFmtId="44" fontId="27" fillId="3" borderId="0" xfId="0" applyNumberFormat="1" applyFont="1" applyFill="1" applyAlignment="1">
      <alignment horizontal="right"/>
    </xf>
    <xf numFmtId="0" fontId="1" fillId="3" borderId="1" xfId="0" applyFont="1" applyFill="1" applyBorder="1"/>
    <xf numFmtId="164" fontId="30" fillId="3" borderId="1" xfId="0" applyNumberFormat="1" applyFont="1" applyFill="1" applyBorder="1" applyAlignment="1">
      <alignment horizontal="center"/>
    </xf>
    <xf numFmtId="0" fontId="31" fillId="3" borderId="1" xfId="0" applyFont="1" applyFill="1" applyBorder="1" applyAlignment="1">
      <alignment horizontal="center"/>
    </xf>
    <xf numFmtId="44" fontId="2" fillId="3" borderId="1" xfId="0" applyNumberFormat="1" applyFont="1" applyFill="1" applyBorder="1"/>
    <xf numFmtId="6" fontId="2" fillId="0" borderId="0" xfId="0" applyNumberFormat="1" applyFont="1"/>
    <xf numFmtId="166" fontId="2" fillId="0" borderId="0" xfId="0" applyNumberFormat="1" applyFont="1"/>
    <xf numFmtId="37" fontId="2" fillId="0" borderId="3" xfId="0" applyNumberFormat="1" applyFont="1" applyBorder="1"/>
    <xf numFmtId="37" fontId="2" fillId="0" borderId="0" xfId="0" applyNumberFormat="1" applyFont="1"/>
    <xf numFmtId="44" fontId="11" fillId="2" borderId="2" xfId="0" applyNumberFormat="1" applyFont="1" applyFill="1" applyBorder="1"/>
    <xf numFmtId="44" fontId="2" fillId="2" borderId="2" xfId="0" applyNumberFormat="1" applyFont="1" applyFill="1" applyBorder="1"/>
    <xf numFmtId="44" fontId="3" fillId="3" borderId="1" xfId="0" applyNumberFormat="1" applyFont="1" applyFill="1" applyBorder="1"/>
    <xf numFmtId="44" fontId="32" fillId="3" borderId="1" xfId="0" applyNumberFormat="1" applyFont="1" applyFill="1" applyBorder="1"/>
    <xf numFmtId="9" fontId="2" fillId="2" borderId="2" xfId="0" applyNumberFormat="1" applyFont="1" applyFill="1" applyBorder="1" applyAlignment="1">
      <alignment horizontal="left"/>
    </xf>
    <xf numFmtId="44" fontId="33" fillId="3" borderId="1" xfId="0" applyNumberFormat="1" applyFont="1" applyFill="1" applyBorder="1"/>
    <xf numFmtId="10" fontId="2" fillId="0" borderId="0" xfId="0" applyNumberFormat="1" applyFont="1"/>
    <xf numFmtId="0" fontId="10"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workbookViewId="0">
      <pane xSplit="1" ySplit="8" topLeftCell="F9" activePane="bottomRight" state="frozen"/>
      <selection pane="topRight" activeCell="B1" sqref="B1"/>
      <selection pane="bottomLeft" activeCell="A9" sqref="A9"/>
      <selection pane="bottomRight" activeCell="A26" sqref="A26"/>
    </sheetView>
  </sheetViews>
  <sheetFormatPr baseColWidth="10" defaultColWidth="14.5" defaultRowHeight="15" customHeight="1"/>
  <cols>
    <col min="1" max="1" width="80.33203125" customWidth="1"/>
    <col min="2" max="2" width="14.6640625" customWidth="1"/>
    <col min="3" max="3" width="18.6640625" customWidth="1"/>
    <col min="4" max="4" width="15.5" customWidth="1"/>
    <col min="5" max="5" width="18" customWidth="1"/>
    <col min="6" max="6" width="17.83203125" customWidth="1"/>
    <col min="7" max="7" width="15.5" customWidth="1"/>
    <col min="8" max="8" width="14.5" customWidth="1"/>
    <col min="9" max="9" width="13.5" customWidth="1"/>
    <col min="10" max="10" width="12" customWidth="1"/>
    <col min="11" max="11" width="11.33203125" customWidth="1"/>
    <col min="12" max="12" width="12.1640625" customWidth="1"/>
    <col min="13" max="13" width="11.5" customWidth="1"/>
    <col min="14" max="14" width="14" customWidth="1"/>
    <col min="15" max="16" width="14.1640625" customWidth="1"/>
    <col min="17" max="26" width="8.6640625" customWidth="1"/>
  </cols>
  <sheetData>
    <row r="1" spans="1:26" ht="17.25" customHeight="1">
      <c r="A1" s="1" t="str">
        <f>Venture</f>
        <v>FitBox</v>
      </c>
      <c r="B1" s="2"/>
      <c r="C1" s="2"/>
      <c r="D1" s="2"/>
      <c r="E1" s="2"/>
      <c r="F1" s="2"/>
      <c r="G1" s="2"/>
      <c r="H1" s="2"/>
      <c r="I1" s="2"/>
      <c r="J1" s="2"/>
      <c r="K1" s="2"/>
      <c r="L1" s="2"/>
      <c r="M1" s="2"/>
      <c r="N1" s="3"/>
      <c r="O1" s="2"/>
      <c r="P1" s="2"/>
      <c r="Q1" s="4"/>
      <c r="R1" s="4"/>
      <c r="S1" s="4"/>
      <c r="T1" s="4"/>
      <c r="U1" s="4"/>
      <c r="V1" s="4"/>
      <c r="W1" s="4"/>
      <c r="X1" s="4"/>
      <c r="Y1" s="4"/>
      <c r="Z1" s="4"/>
    </row>
    <row r="2" spans="1:26" ht="17.25" customHeight="1">
      <c r="A2" s="3" t="s">
        <v>0</v>
      </c>
      <c r="B2" s="2"/>
      <c r="C2" s="2"/>
      <c r="D2" s="2"/>
      <c r="E2" s="2"/>
      <c r="F2" s="2"/>
      <c r="G2" s="2"/>
      <c r="H2" s="2"/>
      <c r="I2" s="2"/>
      <c r="J2" s="2"/>
      <c r="K2" s="2"/>
      <c r="L2" s="2"/>
      <c r="M2" s="2"/>
      <c r="N2" s="3"/>
      <c r="O2" s="2"/>
      <c r="P2" s="2"/>
      <c r="Q2" s="4"/>
      <c r="R2" s="4"/>
      <c r="S2" s="4"/>
      <c r="T2" s="4"/>
      <c r="U2" s="4"/>
      <c r="V2" s="4"/>
      <c r="W2" s="4"/>
      <c r="X2" s="4"/>
      <c r="Y2" s="4"/>
      <c r="Z2" s="4"/>
    </row>
    <row r="3" spans="1:26" ht="17.25" customHeight="1">
      <c r="A3" s="4" t="s">
        <v>1</v>
      </c>
      <c r="B3" s="4"/>
      <c r="C3" s="4"/>
      <c r="D3" s="4"/>
      <c r="E3" s="4"/>
      <c r="F3" s="4"/>
      <c r="G3" s="4"/>
      <c r="H3" s="4"/>
      <c r="I3" s="4"/>
      <c r="J3" s="4"/>
      <c r="K3" s="4"/>
      <c r="L3" s="4"/>
      <c r="M3" s="4"/>
      <c r="N3" s="4"/>
      <c r="O3" s="4"/>
      <c r="P3" s="4"/>
      <c r="Q3" s="4"/>
      <c r="R3" s="4"/>
      <c r="S3" s="4"/>
      <c r="T3" s="4"/>
      <c r="U3" s="4"/>
      <c r="V3" s="4"/>
      <c r="W3" s="4"/>
      <c r="X3" s="4"/>
      <c r="Y3" s="4"/>
      <c r="Z3" s="4"/>
    </row>
    <row r="4" spans="1:26" ht="17.25" customHeight="1">
      <c r="A4" s="4" t="s">
        <v>2</v>
      </c>
      <c r="B4" s="4"/>
      <c r="C4" s="4"/>
      <c r="D4" s="4"/>
      <c r="E4" s="4"/>
      <c r="F4" s="4"/>
      <c r="G4" s="4"/>
      <c r="H4" s="4"/>
      <c r="I4" s="4"/>
      <c r="J4" s="4"/>
      <c r="K4" s="4"/>
      <c r="L4" s="4"/>
      <c r="M4" s="4"/>
      <c r="N4" s="4"/>
      <c r="O4" s="4"/>
      <c r="P4" s="4"/>
      <c r="Q4" s="4"/>
      <c r="R4" s="4"/>
      <c r="S4" s="4"/>
      <c r="T4" s="4"/>
      <c r="U4" s="4"/>
      <c r="V4" s="4"/>
      <c r="W4" s="4"/>
      <c r="X4" s="4"/>
      <c r="Y4" s="4"/>
      <c r="Z4" s="4"/>
    </row>
    <row r="5" spans="1:26" ht="17.25" customHeight="1">
      <c r="A5" s="4" t="s">
        <v>3</v>
      </c>
      <c r="B5" s="4"/>
      <c r="C5" s="4"/>
      <c r="D5" s="4"/>
      <c r="E5" s="4"/>
      <c r="F5" s="4"/>
      <c r="G5" s="4"/>
      <c r="H5" s="4"/>
      <c r="I5" s="4"/>
      <c r="J5" s="4"/>
      <c r="K5" s="4"/>
      <c r="L5" s="4"/>
      <c r="M5" s="4"/>
      <c r="N5" s="4"/>
      <c r="O5" s="4"/>
      <c r="P5" s="4"/>
      <c r="Q5" s="4"/>
      <c r="R5" s="4"/>
      <c r="S5" s="4"/>
      <c r="T5" s="4"/>
      <c r="U5" s="4"/>
      <c r="V5" s="4"/>
      <c r="W5" s="4"/>
      <c r="X5" s="4"/>
      <c r="Y5" s="4"/>
      <c r="Z5" s="4"/>
    </row>
    <row r="6" spans="1:26" ht="17.25" customHeight="1">
      <c r="A6" s="4" t="s">
        <v>4</v>
      </c>
      <c r="B6" s="4"/>
      <c r="C6" s="4"/>
      <c r="D6" s="4"/>
      <c r="E6" s="4"/>
      <c r="F6" s="4"/>
      <c r="G6" s="4"/>
      <c r="H6" s="4"/>
      <c r="I6" s="4"/>
      <c r="J6" s="4"/>
      <c r="K6" s="4"/>
      <c r="L6" s="4"/>
      <c r="M6" s="4"/>
      <c r="N6" s="4"/>
      <c r="O6" s="4"/>
      <c r="P6" s="4"/>
      <c r="Q6" s="4"/>
      <c r="R6" s="4"/>
      <c r="S6" s="4"/>
      <c r="T6" s="4"/>
      <c r="U6" s="4"/>
      <c r="V6" s="4"/>
      <c r="W6" s="4"/>
      <c r="X6" s="4"/>
      <c r="Y6" s="4"/>
      <c r="Z6" s="4"/>
    </row>
    <row r="7" spans="1:26" ht="17.25" customHeight="1">
      <c r="A7" s="4"/>
      <c r="B7" s="4"/>
      <c r="C7" s="4"/>
      <c r="D7" s="4"/>
      <c r="E7" s="4"/>
      <c r="F7" s="4"/>
      <c r="G7" s="4"/>
      <c r="H7" s="4"/>
      <c r="I7" s="4"/>
      <c r="J7" s="4"/>
      <c r="K7" s="4"/>
      <c r="L7" s="4"/>
      <c r="M7" s="4"/>
      <c r="N7" s="4"/>
      <c r="O7" s="4"/>
      <c r="P7" s="4"/>
      <c r="Q7" s="4"/>
      <c r="R7" s="4"/>
      <c r="S7" s="4"/>
      <c r="T7" s="4"/>
      <c r="U7" s="4"/>
      <c r="V7" s="4"/>
      <c r="W7" s="4"/>
      <c r="X7" s="4"/>
      <c r="Y7" s="4"/>
      <c r="Z7" s="4"/>
    </row>
    <row r="8" spans="1:26" ht="17.25" customHeight="1">
      <c r="A8" s="5" t="s">
        <v>5</v>
      </c>
      <c r="B8" s="6">
        <v>45505</v>
      </c>
      <c r="C8" s="6">
        <v>45536</v>
      </c>
      <c r="D8" s="6">
        <v>45566</v>
      </c>
      <c r="E8" s="6">
        <v>45597</v>
      </c>
      <c r="F8" s="6">
        <v>45627</v>
      </c>
      <c r="G8" s="6">
        <v>45658</v>
      </c>
      <c r="H8" s="6">
        <v>45689</v>
      </c>
      <c r="I8" s="6">
        <v>45717</v>
      </c>
      <c r="J8" s="6">
        <v>45748</v>
      </c>
      <c r="K8" s="6">
        <v>45778</v>
      </c>
      <c r="L8" s="6">
        <v>45809</v>
      </c>
      <c r="M8" s="6">
        <v>45839</v>
      </c>
      <c r="N8" s="7" t="s">
        <v>6</v>
      </c>
      <c r="O8" s="7" t="s">
        <v>7</v>
      </c>
      <c r="P8" s="7" t="s">
        <v>8</v>
      </c>
      <c r="Q8" s="4"/>
      <c r="R8" s="4"/>
      <c r="S8" s="4"/>
      <c r="T8" s="4"/>
      <c r="U8" s="4"/>
      <c r="V8" s="4"/>
      <c r="W8" s="4"/>
      <c r="X8" s="4"/>
      <c r="Y8" s="4"/>
      <c r="Z8" s="4"/>
    </row>
    <row r="9" spans="1:26" ht="17.25" customHeight="1">
      <c r="A9" s="8" t="s">
        <v>9</v>
      </c>
      <c r="B9" s="9"/>
      <c r="C9" s="9"/>
      <c r="D9" s="9"/>
      <c r="E9" s="9"/>
      <c r="F9" s="9"/>
      <c r="G9" s="9"/>
      <c r="H9" s="9"/>
      <c r="I9" s="9"/>
      <c r="J9" s="9"/>
      <c r="K9" s="9"/>
      <c r="L9" s="9"/>
      <c r="M9" s="9"/>
      <c r="N9" s="10"/>
      <c r="O9" s="11"/>
      <c r="P9" s="11"/>
      <c r="Q9" s="4"/>
      <c r="R9" s="4"/>
      <c r="S9" s="4"/>
      <c r="T9" s="4"/>
      <c r="U9" s="4"/>
      <c r="V9" s="4"/>
      <c r="W9" s="4"/>
      <c r="X9" s="4"/>
      <c r="Y9" s="4"/>
      <c r="Z9" s="4"/>
    </row>
    <row r="10" spans="1:26" ht="17.25" customHeight="1">
      <c r="A10" s="12" t="s">
        <v>10</v>
      </c>
      <c r="B10" s="9"/>
      <c r="C10" s="9"/>
      <c r="D10" s="9"/>
      <c r="E10" s="9"/>
      <c r="F10" s="9"/>
      <c r="G10" s="9"/>
      <c r="H10" s="9"/>
      <c r="I10" s="9"/>
      <c r="J10" s="9"/>
      <c r="K10" s="9"/>
      <c r="L10" s="9"/>
      <c r="M10" s="9"/>
      <c r="N10" s="10"/>
      <c r="O10" s="11"/>
      <c r="P10" s="11"/>
      <c r="Q10" s="4"/>
      <c r="R10" s="4"/>
      <c r="S10" s="4"/>
      <c r="T10" s="4"/>
      <c r="U10" s="4"/>
      <c r="V10" s="4"/>
      <c r="W10" s="4"/>
      <c r="X10" s="4"/>
      <c r="Y10" s="4"/>
      <c r="Z10" s="4"/>
    </row>
    <row r="11" spans="1:26" ht="17.25" customHeight="1">
      <c r="A11" s="13" t="s">
        <v>11</v>
      </c>
      <c r="B11" s="14">
        <v>500</v>
      </c>
      <c r="C11" s="14">
        <v>500</v>
      </c>
      <c r="D11" s="14">
        <v>500</v>
      </c>
      <c r="E11" s="14">
        <v>500</v>
      </c>
      <c r="F11" s="14">
        <v>500</v>
      </c>
      <c r="G11" s="14">
        <v>800</v>
      </c>
      <c r="H11" s="14">
        <v>800</v>
      </c>
      <c r="I11" s="14">
        <v>800</v>
      </c>
      <c r="J11" s="14">
        <v>800</v>
      </c>
      <c r="K11" s="14">
        <v>800</v>
      </c>
      <c r="L11" s="14">
        <v>500</v>
      </c>
      <c r="M11" s="14">
        <v>500</v>
      </c>
      <c r="N11" s="15">
        <f t="shared" ref="N11:N14" si="0">SUM(B11:M11)</f>
        <v>7500</v>
      </c>
      <c r="O11" s="16">
        <v>10000</v>
      </c>
      <c r="P11" s="16">
        <v>13000</v>
      </c>
      <c r="Q11" s="4"/>
      <c r="R11" s="4"/>
      <c r="S11" s="4"/>
      <c r="T11" s="4"/>
      <c r="U11" s="4"/>
      <c r="V11" s="4"/>
      <c r="W11" s="4"/>
      <c r="X11" s="4"/>
      <c r="Y11" s="4"/>
      <c r="Z11" s="4"/>
    </row>
    <row r="12" spans="1:26" ht="17.25" customHeight="1">
      <c r="A12" s="13" t="s">
        <v>12</v>
      </c>
      <c r="B12" s="14">
        <v>300</v>
      </c>
      <c r="C12" s="14">
        <v>300</v>
      </c>
      <c r="D12" s="14">
        <v>300</v>
      </c>
      <c r="E12" s="14">
        <v>300</v>
      </c>
      <c r="F12" s="14">
        <v>300</v>
      </c>
      <c r="G12" s="14">
        <v>300</v>
      </c>
      <c r="H12" s="14">
        <v>300</v>
      </c>
      <c r="I12" s="14">
        <v>300</v>
      </c>
      <c r="J12" s="14">
        <v>300</v>
      </c>
      <c r="K12" s="14">
        <v>300</v>
      </c>
      <c r="L12" s="14">
        <v>300</v>
      </c>
      <c r="M12" s="14">
        <v>300</v>
      </c>
      <c r="N12" s="15">
        <f t="shared" si="0"/>
        <v>3600</v>
      </c>
      <c r="O12" s="16">
        <v>5000</v>
      </c>
      <c r="P12" s="16">
        <v>7000</v>
      </c>
      <c r="Q12" s="4"/>
      <c r="R12" s="4"/>
      <c r="S12" s="4"/>
      <c r="T12" s="4"/>
      <c r="U12" s="4"/>
      <c r="V12" s="4"/>
      <c r="W12" s="4"/>
      <c r="X12" s="4"/>
      <c r="Y12" s="4"/>
      <c r="Z12" s="4"/>
    </row>
    <row r="13" spans="1:26" ht="17.25" customHeight="1">
      <c r="A13" s="13" t="s">
        <v>13</v>
      </c>
      <c r="B13" s="14">
        <v>820</v>
      </c>
      <c r="C13" s="14">
        <v>820</v>
      </c>
      <c r="D13" s="14">
        <v>820</v>
      </c>
      <c r="E13" s="14">
        <v>820</v>
      </c>
      <c r="F13" s="14">
        <v>820</v>
      </c>
      <c r="G13" s="14">
        <v>820</v>
      </c>
      <c r="H13" s="14">
        <v>820</v>
      </c>
      <c r="I13" s="14">
        <v>820</v>
      </c>
      <c r="J13" s="14">
        <v>820</v>
      </c>
      <c r="K13" s="14">
        <v>820</v>
      </c>
      <c r="L13" s="14">
        <v>820</v>
      </c>
      <c r="M13" s="14">
        <v>820</v>
      </c>
      <c r="N13" s="15">
        <f t="shared" si="0"/>
        <v>9840</v>
      </c>
      <c r="O13" s="16">
        <v>13000</v>
      </c>
      <c r="P13" s="16">
        <v>20000</v>
      </c>
      <c r="Q13" s="4"/>
      <c r="R13" s="4"/>
      <c r="S13" s="4"/>
      <c r="T13" s="4"/>
      <c r="U13" s="4"/>
      <c r="V13" s="4"/>
      <c r="W13" s="4"/>
      <c r="X13" s="4"/>
      <c r="Y13" s="4"/>
      <c r="Z13" s="4"/>
    </row>
    <row r="14" spans="1:26" ht="17.25" customHeight="1">
      <c r="A14" s="13" t="s">
        <v>14</v>
      </c>
      <c r="B14" s="14">
        <v>320</v>
      </c>
      <c r="C14" s="14">
        <v>320</v>
      </c>
      <c r="D14" s="14">
        <v>320</v>
      </c>
      <c r="E14" s="14">
        <v>320</v>
      </c>
      <c r="F14" s="14">
        <v>320</v>
      </c>
      <c r="G14" s="14">
        <v>320</v>
      </c>
      <c r="H14" s="14">
        <v>320</v>
      </c>
      <c r="I14" s="14">
        <v>320</v>
      </c>
      <c r="J14" s="14">
        <v>320</v>
      </c>
      <c r="K14" s="14">
        <v>320</v>
      </c>
      <c r="L14" s="14">
        <v>320</v>
      </c>
      <c r="M14" s="14">
        <v>320</v>
      </c>
      <c r="N14" s="15">
        <f t="shared" si="0"/>
        <v>3840</v>
      </c>
      <c r="O14" s="16">
        <v>5000</v>
      </c>
      <c r="P14" s="16">
        <v>10000</v>
      </c>
      <c r="Q14" s="4"/>
      <c r="R14" s="4"/>
      <c r="S14" s="4"/>
      <c r="T14" s="4"/>
      <c r="U14" s="4"/>
      <c r="V14" s="4"/>
      <c r="W14" s="4"/>
      <c r="X14" s="4"/>
      <c r="Y14" s="4"/>
      <c r="Z14" s="4"/>
    </row>
    <row r="15" spans="1:26" ht="17.25" customHeight="1">
      <c r="A15" s="2"/>
      <c r="B15" s="9"/>
      <c r="C15" s="9"/>
      <c r="D15" s="9"/>
      <c r="E15" s="9"/>
      <c r="F15" s="9"/>
      <c r="G15" s="9"/>
      <c r="H15" s="9"/>
      <c r="I15" s="9"/>
      <c r="J15" s="9"/>
      <c r="K15" s="9"/>
      <c r="L15" s="9"/>
      <c r="M15" s="9"/>
      <c r="N15" s="17"/>
      <c r="O15" s="11"/>
      <c r="P15" s="11"/>
      <c r="Q15" s="4"/>
      <c r="R15" s="4"/>
      <c r="S15" s="4"/>
      <c r="T15" s="4"/>
      <c r="U15" s="4"/>
      <c r="V15" s="4"/>
      <c r="W15" s="4"/>
      <c r="X15" s="4"/>
      <c r="Y15" s="4"/>
      <c r="Z15" s="4"/>
    </row>
    <row r="16" spans="1:26" ht="17.25" customHeight="1">
      <c r="A16" s="18" t="s">
        <v>15</v>
      </c>
      <c r="B16" s="19">
        <f t="shared" ref="B16:P16" si="1">SUM(B11:B14)</f>
        <v>1940</v>
      </c>
      <c r="C16" s="19">
        <f t="shared" si="1"/>
        <v>1940</v>
      </c>
      <c r="D16" s="19">
        <f t="shared" si="1"/>
        <v>1940</v>
      </c>
      <c r="E16" s="19">
        <f t="shared" si="1"/>
        <v>1940</v>
      </c>
      <c r="F16" s="19">
        <f t="shared" si="1"/>
        <v>1940</v>
      </c>
      <c r="G16" s="19">
        <f t="shared" si="1"/>
        <v>2240</v>
      </c>
      <c r="H16" s="19">
        <f t="shared" si="1"/>
        <v>2240</v>
      </c>
      <c r="I16" s="19">
        <f t="shared" si="1"/>
        <v>2240</v>
      </c>
      <c r="J16" s="19">
        <f t="shared" si="1"/>
        <v>2240</v>
      </c>
      <c r="K16" s="19">
        <f t="shared" si="1"/>
        <v>2240</v>
      </c>
      <c r="L16" s="19">
        <f t="shared" si="1"/>
        <v>1940</v>
      </c>
      <c r="M16" s="19">
        <f t="shared" si="1"/>
        <v>1940</v>
      </c>
      <c r="N16" s="19">
        <f t="shared" si="1"/>
        <v>24780</v>
      </c>
      <c r="O16" s="19">
        <f t="shared" si="1"/>
        <v>33000</v>
      </c>
      <c r="P16" s="19">
        <f t="shared" si="1"/>
        <v>50000</v>
      </c>
      <c r="Q16" s="4"/>
      <c r="R16" s="4"/>
      <c r="S16" s="4"/>
      <c r="T16" s="4"/>
      <c r="U16" s="4"/>
      <c r="V16" s="4"/>
      <c r="W16" s="4"/>
      <c r="X16" s="4"/>
      <c r="Y16" s="4"/>
      <c r="Z16" s="4"/>
    </row>
    <row r="17" spans="1:26" ht="17.25" customHeight="1">
      <c r="A17" s="2"/>
      <c r="B17" s="9"/>
      <c r="C17" s="9"/>
      <c r="D17" s="9"/>
      <c r="E17" s="9"/>
      <c r="F17" s="9"/>
      <c r="G17" s="9"/>
      <c r="H17" s="9"/>
      <c r="I17" s="9"/>
      <c r="J17" s="9"/>
      <c r="K17" s="9"/>
      <c r="L17" s="9"/>
      <c r="M17" s="9"/>
      <c r="N17" s="10"/>
      <c r="O17" s="11"/>
      <c r="P17" s="11"/>
      <c r="Q17" s="4"/>
      <c r="R17" s="4"/>
      <c r="S17" s="4"/>
      <c r="T17" s="4"/>
      <c r="U17" s="4"/>
      <c r="V17" s="4"/>
      <c r="W17" s="4"/>
      <c r="X17" s="4"/>
      <c r="Y17" s="4"/>
      <c r="Z17" s="4"/>
    </row>
    <row r="18" spans="1:26" ht="17.25" customHeight="1">
      <c r="A18" s="3" t="s">
        <v>16</v>
      </c>
      <c r="B18" s="9"/>
      <c r="C18" s="9"/>
      <c r="D18" s="9"/>
      <c r="E18" s="9"/>
      <c r="F18" s="9"/>
      <c r="G18" s="9"/>
      <c r="H18" s="9"/>
      <c r="I18" s="9"/>
      <c r="J18" s="9"/>
      <c r="K18" s="9"/>
      <c r="L18" s="9"/>
      <c r="M18" s="9"/>
      <c r="N18" s="10"/>
      <c r="O18" s="11"/>
      <c r="P18" s="11"/>
      <c r="Q18" s="4"/>
      <c r="R18" s="4"/>
      <c r="S18" s="4"/>
      <c r="T18" s="4"/>
      <c r="U18" s="4"/>
      <c r="V18" s="4"/>
      <c r="W18" s="4"/>
      <c r="X18" s="4"/>
      <c r="Y18" s="4"/>
      <c r="Z18" s="4"/>
    </row>
    <row r="19" spans="1:26" ht="17.25" customHeight="1">
      <c r="A19" s="20" t="s">
        <v>17</v>
      </c>
      <c r="B19" s="9"/>
      <c r="C19" s="9"/>
      <c r="D19" s="9"/>
      <c r="E19" s="9"/>
      <c r="F19" s="9"/>
      <c r="G19" s="9"/>
      <c r="H19" s="9"/>
      <c r="I19" s="9"/>
      <c r="J19" s="9"/>
      <c r="K19" s="9"/>
      <c r="L19" s="9"/>
      <c r="M19" s="9"/>
      <c r="N19" s="10"/>
      <c r="O19" s="11"/>
      <c r="P19" s="11"/>
      <c r="Q19" s="4"/>
      <c r="R19" s="4"/>
      <c r="S19" s="4"/>
      <c r="T19" s="4"/>
      <c r="U19" s="4"/>
      <c r="V19" s="4"/>
      <c r="W19" s="4"/>
      <c r="X19" s="4"/>
      <c r="Y19" s="4"/>
      <c r="Z19" s="4"/>
    </row>
    <row r="20" spans="1:26" ht="17.25" customHeight="1">
      <c r="A20" s="21" t="s">
        <v>11</v>
      </c>
      <c r="B20" s="22">
        <v>500</v>
      </c>
      <c r="C20" s="22">
        <v>500</v>
      </c>
      <c r="D20" s="22">
        <v>500</v>
      </c>
      <c r="E20" s="22">
        <v>500</v>
      </c>
      <c r="F20" s="22">
        <v>500</v>
      </c>
      <c r="G20" s="22">
        <v>800</v>
      </c>
      <c r="H20" s="22">
        <v>800</v>
      </c>
      <c r="I20" s="22">
        <v>800</v>
      </c>
      <c r="J20" s="22">
        <v>800</v>
      </c>
      <c r="K20" s="22">
        <v>800</v>
      </c>
      <c r="L20" s="22">
        <v>500</v>
      </c>
      <c r="M20" s="22">
        <v>500</v>
      </c>
      <c r="N20" s="23">
        <f t="shared" ref="N20:N21" si="2">SUM(B20:M20)</f>
        <v>7500</v>
      </c>
      <c r="O20" s="22">
        <v>10000</v>
      </c>
      <c r="P20" s="22">
        <v>13000</v>
      </c>
      <c r="Q20" s="4"/>
      <c r="R20" s="4"/>
      <c r="S20" s="4"/>
      <c r="T20" s="4"/>
      <c r="U20" s="4"/>
      <c r="V20" s="4"/>
      <c r="W20" s="4"/>
      <c r="X20" s="4"/>
      <c r="Y20" s="4"/>
      <c r="Z20" s="4"/>
    </row>
    <row r="21" spans="1:26" ht="17.25" customHeight="1">
      <c r="A21" s="21" t="s">
        <v>18</v>
      </c>
      <c r="B21" s="24">
        <f t="shared" ref="B21:M21" si="3">B20/8.5*1000</f>
        <v>58823.529411764706</v>
      </c>
      <c r="C21" s="24">
        <f t="shared" si="3"/>
        <v>58823.529411764706</v>
      </c>
      <c r="D21" s="24">
        <f t="shared" si="3"/>
        <v>58823.529411764706</v>
      </c>
      <c r="E21" s="24">
        <f t="shared" si="3"/>
        <v>58823.529411764706</v>
      </c>
      <c r="F21" s="24">
        <f t="shared" si="3"/>
        <v>58823.529411764706</v>
      </c>
      <c r="G21" s="24">
        <f t="shared" si="3"/>
        <v>94117.647058823539</v>
      </c>
      <c r="H21" s="24">
        <f t="shared" si="3"/>
        <v>94117.647058823539</v>
      </c>
      <c r="I21" s="24">
        <f t="shared" si="3"/>
        <v>94117.647058823539</v>
      </c>
      <c r="J21" s="24">
        <f t="shared" si="3"/>
        <v>94117.647058823539</v>
      </c>
      <c r="K21" s="24">
        <f t="shared" si="3"/>
        <v>94117.647058823539</v>
      </c>
      <c r="L21" s="24">
        <f t="shared" si="3"/>
        <v>58823.529411764706</v>
      </c>
      <c r="M21" s="24">
        <f t="shared" si="3"/>
        <v>58823.529411764706</v>
      </c>
      <c r="N21" s="25">
        <f t="shared" si="2"/>
        <v>882352.9411764706</v>
      </c>
      <c r="O21" s="24">
        <v>11302302</v>
      </c>
      <c r="P21" s="24">
        <v>30234123</v>
      </c>
      <c r="Q21" s="4"/>
      <c r="R21" s="4"/>
      <c r="S21" s="4"/>
      <c r="T21" s="4"/>
      <c r="U21" s="4"/>
      <c r="V21" s="4"/>
      <c r="W21" s="4"/>
      <c r="X21" s="4"/>
      <c r="Y21" s="4"/>
      <c r="Z21" s="4"/>
    </row>
    <row r="22" spans="1:26" ht="17.25" customHeight="1">
      <c r="A22" s="26" t="s">
        <v>19</v>
      </c>
      <c r="B22" s="27">
        <v>3.5000000000000003E-2</v>
      </c>
      <c r="C22" s="27">
        <v>3.5000000000000003E-2</v>
      </c>
      <c r="D22" s="27">
        <v>3.5000000000000003E-2</v>
      </c>
      <c r="E22" s="27">
        <v>3.5000000000000003E-2</v>
      </c>
      <c r="F22" s="27">
        <v>3.5000000000000003E-2</v>
      </c>
      <c r="G22" s="27">
        <v>3.5000000000000003E-2</v>
      </c>
      <c r="H22" s="27">
        <v>3.5000000000000003E-2</v>
      </c>
      <c r="I22" s="27">
        <v>3.5000000000000003E-2</v>
      </c>
      <c r="J22" s="27">
        <v>3.5000000000000003E-2</v>
      </c>
      <c r="K22" s="27">
        <v>3.5000000000000003E-2</v>
      </c>
      <c r="L22" s="27">
        <v>3.5000000000000003E-2</v>
      </c>
      <c r="M22" s="27">
        <v>3.5000000000000003E-2</v>
      </c>
      <c r="N22" s="28">
        <f>IF(AVERAGE(B22:M22)=0,"n/a",AVERAGE(B22:M22))</f>
        <v>3.500000000000001E-2</v>
      </c>
      <c r="O22" s="29">
        <v>3.5000000000000003E-2</v>
      </c>
      <c r="P22" s="29">
        <v>3.5000000000000003E-2</v>
      </c>
      <c r="Q22" s="4"/>
      <c r="R22" s="4"/>
      <c r="S22" s="4"/>
      <c r="T22" s="4"/>
      <c r="U22" s="4"/>
      <c r="V22" s="4"/>
      <c r="W22" s="4"/>
      <c r="X22" s="4"/>
      <c r="Y22" s="4"/>
      <c r="Z22" s="4"/>
    </row>
    <row r="23" spans="1:26" ht="17.25" customHeight="1">
      <c r="A23" s="21" t="s">
        <v>20</v>
      </c>
      <c r="B23" s="22">
        <v>300</v>
      </c>
      <c r="C23" s="22">
        <v>300</v>
      </c>
      <c r="D23" s="22">
        <v>300</v>
      </c>
      <c r="E23" s="22">
        <v>300</v>
      </c>
      <c r="F23" s="22">
        <v>300</v>
      </c>
      <c r="G23" s="22">
        <v>300</v>
      </c>
      <c r="H23" s="22">
        <v>300</v>
      </c>
      <c r="I23" s="22">
        <v>300</v>
      </c>
      <c r="J23" s="22">
        <v>300</v>
      </c>
      <c r="K23" s="22">
        <v>300</v>
      </c>
      <c r="L23" s="22">
        <v>300</v>
      </c>
      <c r="M23" s="22">
        <v>300</v>
      </c>
      <c r="N23" s="23">
        <f t="shared" ref="N23:N24" si="4">SUM(B23:M23)</f>
        <v>3600</v>
      </c>
      <c r="O23" s="30">
        <v>0</v>
      </c>
      <c r="P23" s="30">
        <v>0</v>
      </c>
      <c r="Q23" s="4"/>
      <c r="R23" s="4"/>
      <c r="S23" s="4"/>
      <c r="T23" s="4"/>
      <c r="U23" s="4"/>
      <c r="V23" s="4"/>
      <c r="W23" s="4"/>
      <c r="X23" s="4"/>
      <c r="Y23" s="4"/>
      <c r="Z23" s="4"/>
    </row>
    <row r="24" spans="1:26" ht="17.25" customHeight="1">
      <c r="A24" s="26" t="s">
        <v>18</v>
      </c>
      <c r="B24" s="31">
        <f t="shared" ref="B24:M24" si="5">B21*B22</f>
        <v>2058.8235294117649</v>
      </c>
      <c r="C24" s="31">
        <f t="shared" si="5"/>
        <v>2058.8235294117649</v>
      </c>
      <c r="D24" s="31">
        <f t="shared" si="5"/>
        <v>2058.8235294117649</v>
      </c>
      <c r="E24" s="31">
        <f t="shared" si="5"/>
        <v>2058.8235294117649</v>
      </c>
      <c r="F24" s="31">
        <f t="shared" si="5"/>
        <v>2058.8235294117649</v>
      </c>
      <c r="G24" s="31">
        <f t="shared" si="5"/>
        <v>3294.1176470588243</v>
      </c>
      <c r="H24" s="31">
        <f t="shared" si="5"/>
        <v>3294.1176470588243</v>
      </c>
      <c r="I24" s="31">
        <f t="shared" si="5"/>
        <v>3294.1176470588243</v>
      </c>
      <c r="J24" s="31">
        <f t="shared" si="5"/>
        <v>3294.1176470588243</v>
      </c>
      <c r="K24" s="31">
        <f t="shared" si="5"/>
        <v>3294.1176470588243</v>
      </c>
      <c r="L24" s="31">
        <f t="shared" si="5"/>
        <v>2058.8235294117649</v>
      </c>
      <c r="M24" s="31">
        <f t="shared" si="5"/>
        <v>2058.8235294117649</v>
      </c>
      <c r="N24" s="25">
        <f t="shared" si="4"/>
        <v>30882.352941176483</v>
      </c>
      <c r="O24" s="31">
        <f t="shared" ref="O24:P24" si="6">O21*O22</f>
        <v>395580.57000000007</v>
      </c>
      <c r="P24" s="31">
        <f t="shared" si="6"/>
        <v>1058194.3050000002</v>
      </c>
      <c r="Q24" s="4"/>
      <c r="R24" s="4"/>
      <c r="S24" s="4"/>
      <c r="T24" s="4"/>
      <c r="U24" s="4"/>
      <c r="V24" s="4"/>
      <c r="W24" s="4"/>
      <c r="X24" s="4"/>
      <c r="Y24" s="4"/>
      <c r="Z24" s="4"/>
    </row>
    <row r="25" spans="1:26" ht="17.25" customHeight="1">
      <c r="A25" s="26" t="s">
        <v>19</v>
      </c>
      <c r="B25" s="29">
        <v>0.04</v>
      </c>
      <c r="C25" s="29">
        <v>0.04</v>
      </c>
      <c r="D25" s="29">
        <v>0.04</v>
      </c>
      <c r="E25" s="29">
        <v>0.04</v>
      </c>
      <c r="F25" s="29">
        <v>0.04</v>
      </c>
      <c r="G25" s="29">
        <v>0.04</v>
      </c>
      <c r="H25" s="29">
        <v>0.04</v>
      </c>
      <c r="I25" s="29">
        <v>0.04</v>
      </c>
      <c r="J25" s="29">
        <v>0.04</v>
      </c>
      <c r="K25" s="29">
        <v>0.04</v>
      </c>
      <c r="L25" s="29">
        <v>0.04</v>
      </c>
      <c r="M25" s="29">
        <v>0.04</v>
      </c>
      <c r="N25" s="28">
        <f>IF(AVERAGE(B25:M25)=0,"n/a",AVERAGE(B25:M25))</f>
        <v>3.9999999999999994E-2</v>
      </c>
      <c r="O25" s="29">
        <v>0.04</v>
      </c>
      <c r="P25" s="29">
        <v>0.04</v>
      </c>
      <c r="Q25" s="4"/>
      <c r="R25" s="4"/>
      <c r="S25" s="4"/>
      <c r="T25" s="4"/>
      <c r="U25" s="4"/>
      <c r="V25" s="4"/>
      <c r="W25" s="4"/>
      <c r="X25" s="4"/>
      <c r="Y25" s="4"/>
      <c r="Z25" s="4"/>
    </row>
    <row r="26" spans="1:26" ht="17.25" customHeight="1">
      <c r="A26" s="21" t="s">
        <v>13</v>
      </c>
      <c r="B26" s="22">
        <v>820</v>
      </c>
      <c r="C26" s="22">
        <v>820</v>
      </c>
      <c r="D26" s="22">
        <v>820</v>
      </c>
      <c r="E26" s="22">
        <v>820</v>
      </c>
      <c r="F26" s="22">
        <v>820</v>
      </c>
      <c r="G26" s="22">
        <v>820</v>
      </c>
      <c r="H26" s="22">
        <v>820</v>
      </c>
      <c r="I26" s="22">
        <v>820</v>
      </c>
      <c r="J26" s="22">
        <v>820</v>
      </c>
      <c r="K26" s="22">
        <v>820</v>
      </c>
      <c r="L26" s="22">
        <v>820</v>
      </c>
      <c r="M26" s="22">
        <v>820</v>
      </c>
      <c r="N26" s="23">
        <f t="shared" ref="N26:N27" si="7">SUM(B26:M26)</f>
        <v>9840</v>
      </c>
      <c r="O26" s="22">
        <v>820</v>
      </c>
      <c r="P26" s="22">
        <v>820</v>
      </c>
      <c r="Q26" s="4"/>
      <c r="R26" s="4"/>
      <c r="S26" s="4"/>
      <c r="T26" s="4"/>
      <c r="U26" s="4"/>
      <c r="V26" s="4"/>
      <c r="W26" s="4"/>
      <c r="X26" s="4"/>
      <c r="Y26" s="4"/>
      <c r="Z26" s="4"/>
    </row>
    <row r="27" spans="1:26" ht="17.25" customHeight="1">
      <c r="A27" s="26" t="s">
        <v>18</v>
      </c>
      <c r="B27" s="31">
        <f t="shared" ref="B27:M27" si="8">B24*B25</f>
        <v>82.352941176470594</v>
      </c>
      <c r="C27" s="31">
        <f t="shared" si="8"/>
        <v>82.352941176470594</v>
      </c>
      <c r="D27" s="31">
        <f t="shared" si="8"/>
        <v>82.352941176470594</v>
      </c>
      <c r="E27" s="31">
        <f t="shared" si="8"/>
        <v>82.352941176470594</v>
      </c>
      <c r="F27" s="31">
        <f t="shared" si="8"/>
        <v>82.352941176470594</v>
      </c>
      <c r="G27" s="31">
        <f t="shared" si="8"/>
        <v>131.76470588235298</v>
      </c>
      <c r="H27" s="31">
        <f t="shared" si="8"/>
        <v>131.76470588235298</v>
      </c>
      <c r="I27" s="31">
        <f t="shared" si="8"/>
        <v>131.76470588235298</v>
      </c>
      <c r="J27" s="31">
        <f t="shared" si="8"/>
        <v>131.76470588235298</v>
      </c>
      <c r="K27" s="31">
        <f t="shared" si="8"/>
        <v>131.76470588235298</v>
      </c>
      <c r="L27" s="31">
        <f t="shared" si="8"/>
        <v>82.352941176470594</v>
      </c>
      <c r="M27" s="31">
        <f t="shared" si="8"/>
        <v>82.352941176470594</v>
      </c>
      <c r="N27" s="25">
        <f t="shared" si="7"/>
        <v>1235.2941176470588</v>
      </c>
      <c r="O27" s="31">
        <f t="shared" ref="O27:P27" si="9">O24*O25</f>
        <v>15823.222800000003</v>
      </c>
      <c r="P27" s="31">
        <f t="shared" si="9"/>
        <v>42327.772200000007</v>
      </c>
      <c r="Q27" s="4"/>
      <c r="R27" s="4"/>
      <c r="S27" s="4"/>
      <c r="T27" s="4"/>
      <c r="U27" s="4"/>
      <c r="V27" s="4"/>
      <c r="W27" s="4"/>
      <c r="X27" s="4"/>
      <c r="Y27" s="4"/>
      <c r="Z27" s="4"/>
    </row>
    <row r="28" spans="1:26" ht="17.25" customHeight="1">
      <c r="A28" s="26" t="s">
        <v>19</v>
      </c>
      <c r="B28" s="29">
        <v>0.12</v>
      </c>
      <c r="C28" s="29">
        <v>0.12</v>
      </c>
      <c r="D28" s="29">
        <v>0.12</v>
      </c>
      <c r="E28" s="29">
        <v>0.12</v>
      </c>
      <c r="F28" s="29">
        <v>0.12</v>
      </c>
      <c r="G28" s="29">
        <v>0.15</v>
      </c>
      <c r="H28" s="29">
        <v>0.15</v>
      </c>
      <c r="I28" s="29">
        <v>0.15</v>
      </c>
      <c r="J28" s="29">
        <v>0.15</v>
      </c>
      <c r="K28" s="29">
        <v>0.15</v>
      </c>
      <c r="L28" s="29">
        <v>0.12</v>
      </c>
      <c r="M28" s="29">
        <v>0.12</v>
      </c>
      <c r="N28" s="28">
        <f>IF(AVERAGE(B28:M28)=0,"n/a",AVERAGE(B28:M28))</f>
        <v>0.13249999999999998</v>
      </c>
      <c r="O28" s="29">
        <v>0.14000000000000001</v>
      </c>
      <c r="P28" s="29">
        <v>0.14000000000000001</v>
      </c>
      <c r="Q28" s="4"/>
      <c r="R28" s="4"/>
      <c r="S28" s="4"/>
      <c r="T28" s="4"/>
      <c r="U28" s="4"/>
      <c r="V28" s="4"/>
      <c r="W28" s="4"/>
      <c r="X28" s="4"/>
      <c r="Y28" s="4"/>
      <c r="Z28" s="4"/>
    </row>
    <row r="29" spans="1:26" ht="17.25" customHeight="1">
      <c r="A29" s="21" t="s">
        <v>21</v>
      </c>
      <c r="B29" s="22">
        <v>320</v>
      </c>
      <c r="C29" s="22">
        <v>320</v>
      </c>
      <c r="D29" s="22">
        <v>320</v>
      </c>
      <c r="E29" s="22">
        <v>320</v>
      </c>
      <c r="F29" s="22">
        <v>320</v>
      </c>
      <c r="G29" s="22">
        <v>320</v>
      </c>
      <c r="H29" s="22">
        <v>320</v>
      </c>
      <c r="I29" s="22">
        <v>320</v>
      </c>
      <c r="J29" s="22">
        <v>320</v>
      </c>
      <c r="K29" s="22">
        <v>320</v>
      </c>
      <c r="L29" s="22">
        <v>320</v>
      </c>
      <c r="M29" s="22">
        <v>320</v>
      </c>
      <c r="N29" s="23">
        <f t="shared" ref="N29:N30" si="10">SUM(B29:M29)</f>
        <v>3840</v>
      </c>
      <c r="O29" s="22">
        <v>4000</v>
      </c>
      <c r="P29" s="22">
        <v>5000</v>
      </c>
      <c r="Q29" s="4"/>
      <c r="R29" s="4"/>
      <c r="S29" s="4"/>
      <c r="T29" s="4"/>
      <c r="U29" s="4"/>
      <c r="V29" s="4"/>
      <c r="W29" s="4"/>
      <c r="X29" s="4"/>
      <c r="Y29" s="4"/>
      <c r="Z29" s="4"/>
    </row>
    <row r="30" spans="1:26" ht="17.25" customHeight="1">
      <c r="A30" s="26" t="s">
        <v>18</v>
      </c>
      <c r="B30" s="31">
        <f t="shared" ref="B30:M30" si="11">B27*B28</f>
        <v>9.882352941176471</v>
      </c>
      <c r="C30" s="31">
        <f t="shared" si="11"/>
        <v>9.882352941176471</v>
      </c>
      <c r="D30" s="31">
        <f t="shared" si="11"/>
        <v>9.882352941176471</v>
      </c>
      <c r="E30" s="31">
        <f t="shared" si="11"/>
        <v>9.882352941176471</v>
      </c>
      <c r="F30" s="31">
        <f t="shared" si="11"/>
        <v>9.882352941176471</v>
      </c>
      <c r="G30" s="31">
        <f t="shared" si="11"/>
        <v>19.764705882352946</v>
      </c>
      <c r="H30" s="31">
        <f t="shared" si="11"/>
        <v>19.764705882352946</v>
      </c>
      <c r="I30" s="31">
        <f t="shared" si="11"/>
        <v>19.764705882352946</v>
      </c>
      <c r="J30" s="31">
        <f t="shared" si="11"/>
        <v>19.764705882352946</v>
      </c>
      <c r="K30" s="31">
        <f t="shared" si="11"/>
        <v>19.764705882352946</v>
      </c>
      <c r="L30" s="31">
        <f t="shared" si="11"/>
        <v>9.882352941176471</v>
      </c>
      <c r="M30" s="31">
        <f t="shared" si="11"/>
        <v>9.882352941176471</v>
      </c>
      <c r="N30" s="25">
        <f t="shared" si="10"/>
        <v>168.00000000000003</v>
      </c>
      <c r="O30" s="31">
        <f t="shared" ref="O30:P30" si="12">O27*O28</f>
        <v>2215.2511920000006</v>
      </c>
      <c r="P30" s="31">
        <f t="shared" si="12"/>
        <v>5925.8881080000019</v>
      </c>
      <c r="Q30" s="4"/>
      <c r="R30" s="4"/>
      <c r="S30" s="4"/>
      <c r="T30" s="4"/>
      <c r="U30" s="4"/>
      <c r="V30" s="4"/>
      <c r="W30" s="4"/>
      <c r="X30" s="4"/>
      <c r="Y30" s="4"/>
      <c r="Z30" s="4"/>
    </row>
    <row r="31" spans="1:26" ht="17.25" customHeight="1">
      <c r="A31" s="26" t="s">
        <v>19</v>
      </c>
      <c r="B31" s="29">
        <v>0.6</v>
      </c>
      <c r="C31" s="29">
        <v>0.6</v>
      </c>
      <c r="D31" s="29">
        <v>0.6</v>
      </c>
      <c r="E31" s="29">
        <v>0.6</v>
      </c>
      <c r="F31" s="29">
        <v>0.6</v>
      </c>
      <c r="G31" s="29">
        <v>0.6</v>
      </c>
      <c r="H31" s="29">
        <v>0.6</v>
      </c>
      <c r="I31" s="29">
        <v>0.6</v>
      </c>
      <c r="J31" s="29">
        <v>0.6</v>
      </c>
      <c r="K31" s="29">
        <v>0.6</v>
      </c>
      <c r="L31" s="29">
        <v>0.6</v>
      </c>
      <c r="M31" s="29">
        <v>0.60000000000000098</v>
      </c>
      <c r="N31" s="28">
        <f>IF(AVERAGE(B31:M31)=0,"n/a",AVERAGE(B31:M31))</f>
        <v>0.6</v>
      </c>
      <c r="O31" s="29">
        <v>0.6</v>
      </c>
      <c r="P31" s="29">
        <v>0.6</v>
      </c>
      <c r="Q31" s="4"/>
      <c r="R31" s="4"/>
      <c r="S31" s="4"/>
      <c r="T31" s="4"/>
      <c r="U31" s="4"/>
      <c r="V31" s="4"/>
      <c r="W31" s="4"/>
      <c r="X31" s="4"/>
      <c r="Y31" s="4"/>
      <c r="Z31" s="4"/>
    </row>
    <row r="32" spans="1:26" ht="17.25" customHeight="1">
      <c r="A32" s="26" t="s">
        <v>22</v>
      </c>
      <c r="B32" s="22">
        <v>208</v>
      </c>
      <c r="C32" s="22">
        <v>208</v>
      </c>
      <c r="D32" s="22">
        <v>208</v>
      </c>
      <c r="E32" s="22">
        <v>208</v>
      </c>
      <c r="F32" s="30">
        <v>0</v>
      </c>
      <c r="G32" s="30">
        <v>0</v>
      </c>
      <c r="H32" s="30">
        <v>0</v>
      </c>
      <c r="I32" s="30">
        <v>0</v>
      </c>
      <c r="J32" s="30">
        <v>0</v>
      </c>
      <c r="K32" s="30">
        <v>0</v>
      </c>
      <c r="L32" s="30">
        <v>0</v>
      </c>
      <c r="M32" s="30">
        <v>0</v>
      </c>
      <c r="N32" s="23">
        <f t="shared" ref="N32:N33" si="13">SUM(B32:M32)</f>
        <v>832</v>
      </c>
      <c r="O32" s="30">
        <v>0</v>
      </c>
      <c r="P32" s="30">
        <v>0</v>
      </c>
      <c r="Q32" s="4"/>
      <c r="R32" s="4"/>
      <c r="S32" s="4"/>
      <c r="T32" s="4"/>
      <c r="U32" s="4"/>
      <c r="V32" s="4"/>
      <c r="W32" s="4"/>
      <c r="X32" s="4"/>
      <c r="Y32" s="4"/>
      <c r="Z32" s="4"/>
    </row>
    <row r="33" spans="1:26" ht="17.25" customHeight="1">
      <c r="A33" s="26" t="s">
        <v>18</v>
      </c>
      <c r="B33" s="31">
        <f t="shared" ref="B33:M33" si="14">B30*B31</f>
        <v>5.9294117647058826</v>
      </c>
      <c r="C33" s="31">
        <f t="shared" si="14"/>
        <v>5.9294117647058826</v>
      </c>
      <c r="D33" s="31">
        <f t="shared" si="14"/>
        <v>5.9294117647058826</v>
      </c>
      <c r="E33" s="31">
        <f t="shared" si="14"/>
        <v>5.9294117647058826</v>
      </c>
      <c r="F33" s="31">
        <f t="shared" si="14"/>
        <v>5.9294117647058826</v>
      </c>
      <c r="G33" s="31">
        <f t="shared" si="14"/>
        <v>11.858823529411767</v>
      </c>
      <c r="H33" s="31">
        <f t="shared" si="14"/>
        <v>11.858823529411767</v>
      </c>
      <c r="I33" s="31">
        <f t="shared" si="14"/>
        <v>11.858823529411767</v>
      </c>
      <c r="J33" s="31">
        <f t="shared" si="14"/>
        <v>11.858823529411767</v>
      </c>
      <c r="K33" s="31">
        <f t="shared" si="14"/>
        <v>11.858823529411767</v>
      </c>
      <c r="L33" s="31">
        <f t="shared" si="14"/>
        <v>5.9294117647058826</v>
      </c>
      <c r="M33" s="31">
        <f t="shared" si="14"/>
        <v>5.9294117647058924</v>
      </c>
      <c r="N33" s="25">
        <f t="shared" si="13"/>
        <v>100.80000000000001</v>
      </c>
      <c r="O33" s="31">
        <f t="shared" ref="O33:P33" si="15">O30*O31</f>
        <v>1329.1507152000004</v>
      </c>
      <c r="P33" s="31">
        <f t="shared" si="15"/>
        <v>3555.5328648000009</v>
      </c>
      <c r="Q33" s="4"/>
      <c r="R33" s="4"/>
      <c r="S33" s="4"/>
      <c r="T33" s="4"/>
      <c r="U33" s="4"/>
      <c r="V33" s="4"/>
      <c r="W33" s="4"/>
      <c r="X33" s="4"/>
      <c r="Y33" s="4"/>
      <c r="Z33" s="4"/>
    </row>
    <row r="34" spans="1:26" ht="17.25" customHeight="1">
      <c r="A34" s="26" t="s">
        <v>19</v>
      </c>
      <c r="B34" s="32">
        <v>0</v>
      </c>
      <c r="C34" s="32">
        <v>0</v>
      </c>
      <c r="D34" s="32">
        <v>0</v>
      </c>
      <c r="E34" s="32">
        <v>0</v>
      </c>
      <c r="F34" s="32">
        <v>0</v>
      </c>
      <c r="G34" s="32">
        <v>0</v>
      </c>
      <c r="H34" s="32">
        <v>0</v>
      </c>
      <c r="I34" s="32">
        <v>0</v>
      </c>
      <c r="J34" s="32">
        <v>0</v>
      </c>
      <c r="K34" s="32">
        <v>0</v>
      </c>
      <c r="L34" s="32">
        <v>0</v>
      </c>
      <c r="M34" s="32">
        <v>0</v>
      </c>
      <c r="N34" s="28" t="str">
        <f>IF(AVERAGE(B34:M34)=0,"n/a",AVERAGE(B34:M34))</f>
        <v>n/a</v>
      </c>
      <c r="O34" s="33"/>
      <c r="P34" s="33"/>
      <c r="Q34" s="4"/>
      <c r="R34" s="4"/>
      <c r="S34" s="4"/>
      <c r="T34" s="4"/>
      <c r="U34" s="4"/>
      <c r="V34" s="4"/>
      <c r="W34" s="4"/>
      <c r="X34" s="4"/>
      <c r="Y34" s="4"/>
      <c r="Z34" s="4"/>
    </row>
    <row r="35" spans="1:26" ht="17.25" customHeight="1">
      <c r="A35" s="34" t="s">
        <v>23</v>
      </c>
      <c r="B35" s="35">
        <f t="shared" ref="B35:M35" si="16">B30*B31</f>
        <v>5.9294117647058826</v>
      </c>
      <c r="C35" s="35">
        <f t="shared" si="16"/>
        <v>5.9294117647058826</v>
      </c>
      <c r="D35" s="35">
        <f t="shared" si="16"/>
        <v>5.9294117647058826</v>
      </c>
      <c r="E35" s="35">
        <f t="shared" si="16"/>
        <v>5.9294117647058826</v>
      </c>
      <c r="F35" s="35">
        <f t="shared" si="16"/>
        <v>5.9294117647058826</v>
      </c>
      <c r="G35" s="35">
        <f t="shared" si="16"/>
        <v>11.858823529411767</v>
      </c>
      <c r="H35" s="35">
        <f t="shared" si="16"/>
        <v>11.858823529411767</v>
      </c>
      <c r="I35" s="35">
        <f t="shared" si="16"/>
        <v>11.858823529411767</v>
      </c>
      <c r="J35" s="35">
        <f t="shared" si="16"/>
        <v>11.858823529411767</v>
      </c>
      <c r="K35" s="35">
        <f t="shared" si="16"/>
        <v>11.858823529411767</v>
      </c>
      <c r="L35" s="35">
        <f t="shared" si="16"/>
        <v>5.9294117647058826</v>
      </c>
      <c r="M35" s="35">
        <f t="shared" si="16"/>
        <v>5.9294117647058924</v>
      </c>
      <c r="N35" s="36">
        <f>SUM(B35:M35)</f>
        <v>100.80000000000001</v>
      </c>
      <c r="O35" s="37">
        <v>0</v>
      </c>
      <c r="P35" s="36">
        <v>0</v>
      </c>
      <c r="Q35" s="4"/>
      <c r="R35" s="4"/>
      <c r="S35" s="4"/>
      <c r="T35" s="4"/>
      <c r="U35" s="4"/>
      <c r="V35" s="4"/>
      <c r="W35" s="4"/>
      <c r="X35" s="4"/>
      <c r="Y35" s="4"/>
      <c r="Z35" s="4"/>
    </row>
    <row r="36" spans="1:26" ht="17.25" customHeight="1">
      <c r="A36" s="3" t="s">
        <v>24</v>
      </c>
      <c r="B36" s="38">
        <f>B35</f>
        <v>5.9294117647058826</v>
      </c>
      <c r="C36" s="38">
        <f t="shared" ref="C36:M36" si="17">B36+C35</f>
        <v>11.858823529411765</v>
      </c>
      <c r="D36" s="38">
        <f t="shared" si="17"/>
        <v>17.788235294117648</v>
      </c>
      <c r="E36" s="38">
        <f t="shared" si="17"/>
        <v>23.71764705882353</v>
      </c>
      <c r="F36" s="38">
        <f t="shared" si="17"/>
        <v>29.647058823529413</v>
      </c>
      <c r="G36" s="38">
        <f t="shared" si="17"/>
        <v>41.505882352941178</v>
      </c>
      <c r="H36" s="38">
        <f t="shared" si="17"/>
        <v>53.364705882352943</v>
      </c>
      <c r="I36" s="38">
        <f t="shared" si="17"/>
        <v>65.223529411764716</v>
      </c>
      <c r="J36" s="38">
        <f t="shared" si="17"/>
        <v>77.082352941176481</v>
      </c>
      <c r="K36" s="38">
        <f t="shared" si="17"/>
        <v>88.941176470588246</v>
      </c>
      <c r="L36" s="38">
        <f t="shared" si="17"/>
        <v>94.870588235294122</v>
      </c>
      <c r="M36" s="38">
        <f t="shared" si="17"/>
        <v>100.80000000000001</v>
      </c>
      <c r="N36" s="38">
        <f>M36</f>
        <v>100.80000000000001</v>
      </c>
      <c r="O36" s="38">
        <f t="shared" ref="O36:P36" si="18">N36+O35</f>
        <v>100.80000000000001</v>
      </c>
      <c r="P36" s="38">
        <f t="shared" si="18"/>
        <v>100.80000000000001</v>
      </c>
      <c r="Q36" s="4"/>
      <c r="R36" s="4"/>
      <c r="S36" s="4"/>
      <c r="T36" s="4"/>
      <c r="U36" s="4"/>
      <c r="V36" s="4"/>
      <c r="W36" s="4"/>
      <c r="X36" s="4"/>
      <c r="Y36" s="4"/>
      <c r="Z36" s="4"/>
    </row>
    <row r="37" spans="1:26" ht="17.25" customHeight="1">
      <c r="A37" s="3" t="s">
        <v>25</v>
      </c>
      <c r="B37" s="39">
        <f t="shared" ref="B37:M37" si="19">B20+B23+B26+B29</f>
        <v>1940</v>
      </c>
      <c r="C37" s="39">
        <f t="shared" si="19"/>
        <v>1940</v>
      </c>
      <c r="D37" s="39">
        <f t="shared" si="19"/>
        <v>1940</v>
      </c>
      <c r="E37" s="39">
        <f t="shared" si="19"/>
        <v>1940</v>
      </c>
      <c r="F37" s="39">
        <f t="shared" si="19"/>
        <v>1940</v>
      </c>
      <c r="G37" s="39">
        <f t="shared" si="19"/>
        <v>2240</v>
      </c>
      <c r="H37" s="39">
        <f t="shared" si="19"/>
        <v>2240</v>
      </c>
      <c r="I37" s="39">
        <f t="shared" si="19"/>
        <v>2240</v>
      </c>
      <c r="J37" s="39">
        <f t="shared" si="19"/>
        <v>2240</v>
      </c>
      <c r="K37" s="39">
        <f t="shared" si="19"/>
        <v>2240</v>
      </c>
      <c r="L37" s="39">
        <f t="shared" si="19"/>
        <v>1940</v>
      </c>
      <c r="M37" s="39">
        <f t="shared" si="19"/>
        <v>1940</v>
      </c>
      <c r="N37" s="39" t="e">
        <f t="shared" ref="N37:P37" si="20">N20+N23+N26+#REF!+N29+N32</f>
        <v>#REF!</v>
      </c>
      <c r="O37" s="39" t="e">
        <f t="shared" si="20"/>
        <v>#REF!</v>
      </c>
      <c r="P37" s="39" t="e">
        <f t="shared" si="20"/>
        <v>#REF!</v>
      </c>
      <c r="Q37" s="4"/>
      <c r="R37" s="4"/>
      <c r="S37" s="4"/>
      <c r="T37" s="4"/>
      <c r="U37" s="4"/>
      <c r="V37" s="4"/>
      <c r="W37" s="4"/>
      <c r="X37" s="4"/>
      <c r="Y37" s="4"/>
      <c r="Z37" s="4"/>
    </row>
    <row r="38" spans="1:26" ht="17.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7.25" customHeight="1">
      <c r="A39" s="3" t="s">
        <v>26</v>
      </c>
      <c r="B39" s="40">
        <f t="shared" ref="B39:P39" si="21">B16+B37</f>
        <v>3880</v>
      </c>
      <c r="C39" s="40">
        <f t="shared" si="21"/>
        <v>3880</v>
      </c>
      <c r="D39" s="40">
        <f t="shared" si="21"/>
        <v>3880</v>
      </c>
      <c r="E39" s="40">
        <f t="shared" si="21"/>
        <v>3880</v>
      </c>
      <c r="F39" s="40">
        <f t="shared" si="21"/>
        <v>3880</v>
      </c>
      <c r="G39" s="40">
        <f t="shared" si="21"/>
        <v>4480</v>
      </c>
      <c r="H39" s="40">
        <f t="shared" si="21"/>
        <v>4480</v>
      </c>
      <c r="I39" s="40">
        <f t="shared" si="21"/>
        <v>4480</v>
      </c>
      <c r="J39" s="40">
        <f t="shared" si="21"/>
        <v>4480</v>
      </c>
      <c r="K39" s="40">
        <f t="shared" si="21"/>
        <v>4480</v>
      </c>
      <c r="L39" s="40">
        <f t="shared" si="21"/>
        <v>3880</v>
      </c>
      <c r="M39" s="40">
        <f t="shared" si="21"/>
        <v>3880</v>
      </c>
      <c r="N39" s="40" t="e">
        <f t="shared" si="21"/>
        <v>#REF!</v>
      </c>
      <c r="O39" s="40" t="e">
        <f t="shared" si="21"/>
        <v>#REF!</v>
      </c>
      <c r="P39" s="40" t="e">
        <f t="shared" si="21"/>
        <v>#REF!</v>
      </c>
      <c r="Q39" s="4"/>
      <c r="R39" s="4"/>
      <c r="S39" s="4"/>
      <c r="T39" s="4"/>
      <c r="U39" s="4"/>
      <c r="V39" s="4"/>
      <c r="W39" s="4"/>
      <c r="X39" s="4"/>
      <c r="Y39" s="4"/>
      <c r="Z39" s="4"/>
    </row>
    <row r="40" spans="1:26" ht="17.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7.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7.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7.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7.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7.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7.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7.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7.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7.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7.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7.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7.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7.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7.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7.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7.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7.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7.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7.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7.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7.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7.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7.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7.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7.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7.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7.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7.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7.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7.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7.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7.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7.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7.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7.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7.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7.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7.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7.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7.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7.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7.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7.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7.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7.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7.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7.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7.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7.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7.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7.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7.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7.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7.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7.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7.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7.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7.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7.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7.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7.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7.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7.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7.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7.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7.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7.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7.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7.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7.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7.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7.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7.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7.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7.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7.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7.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7.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7.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7.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7.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7.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7.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7.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7.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7.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7.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7.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7.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7.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7.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7.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7.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7.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7.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7.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7.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7.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7.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7.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7.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7.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7.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7.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7.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7.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7.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7.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7.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7.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7.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7.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7.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7.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7.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7.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7.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7.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7.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7.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7.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7.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7.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7.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7.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7.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7.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7.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7.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7.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7.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7.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7.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7.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7.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7.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7.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7.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7.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7.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7.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7.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7.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7.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7.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7.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7.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7.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7.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7.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7.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7.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7.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7.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7.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7.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7.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7.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7.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7.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7.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7.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7.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7.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7.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7.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7.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7.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7.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7.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7.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7.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7.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7.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7.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7.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7.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7.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7.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7.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7.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7.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7.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7.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7.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7.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7.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7.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7.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7.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7.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7.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7.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7.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7.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7.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7.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7.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7.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7.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7.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7.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7.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7.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7.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7.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7.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7.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7.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7.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7.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7.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7.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7.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7.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7.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7.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7.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7.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7.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7.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7.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7.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7.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7.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7.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7.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7.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7.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7.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7.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7.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7.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7.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7.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7.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7.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7.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7.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7.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7.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7.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7.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7.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7.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7.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7.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7.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7.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7.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7.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7.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7.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7.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7.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7.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7.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7.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7.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7.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7.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7.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7.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7.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7.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7.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7.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7.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7.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7.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7.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7.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7.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7.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7.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7.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7.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7.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7.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7.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7.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7.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7.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7.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7.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7.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7.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7.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7.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7.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7.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7.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7.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7.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7.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7.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7.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7.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7.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7.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7.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7.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7.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7.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7.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7.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7.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7.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7.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7.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7.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7.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7.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7.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7.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7.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7.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7.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7.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7.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7.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7.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7.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7.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7.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7.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7.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7.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7.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7.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7.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7.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7.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7.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7.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7.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7.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7.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7.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7.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7.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7.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7.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7.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7.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7.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7.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7.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7.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7.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7.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7.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7.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7.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7.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7.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7.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7.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7.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7.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7.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7.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7.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7.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7.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7.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7.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7.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7.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7.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7.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7.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7.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7.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7.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7.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7.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7.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7.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7.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7.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7.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7.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7.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7.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7.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7.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7.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7.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7.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7.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7.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7.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7.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7.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7.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7.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7.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7.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7.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7.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7.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7.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7.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7.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7.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7.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7.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7.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7.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7.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7.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7.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7.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7.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7.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7.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7.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7.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7.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7.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7.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7.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7.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7.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7.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7.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7.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7.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7.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7.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7.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7.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7.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7.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7.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7.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7.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7.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7.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7.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7.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7.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7.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7.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7.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7.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7.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7.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7.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7.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7.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7.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7.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7.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7.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7.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7.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7.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7.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7.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7.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7.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7.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7.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7.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7.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7.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7.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7.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7.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7.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7.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7.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7.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7.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7.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7.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7.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7.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7.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7.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7.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7.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7.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7.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7.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7.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7.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7.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7.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7.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7.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7.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7.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7.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7.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7.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7.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7.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7.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7.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7.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7.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7.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7.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7.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7.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7.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7.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7.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7.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7.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7.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7.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7.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7.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7.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7.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7.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7.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7.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7.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7.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7.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7.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7.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7.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7.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7.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7.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7.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7.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7.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7.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7.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7.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7.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7.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7.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7.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7.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7.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7.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7.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7.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7.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7.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7.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7.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7.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7.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7.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7.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7.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7.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7.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7.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7.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7.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7.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7.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7.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7.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7.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7.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7.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7.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7.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7.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7.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7.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7.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7.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7.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7.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7.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7.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7.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7.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7.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7.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7.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7.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7.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7.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7.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7.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7.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7.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7.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7.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7.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7.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7.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7.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7.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7.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7.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7.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7.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7.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7.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7.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7.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7.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7.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7.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7.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7.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7.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7.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7.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7.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7.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7.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7.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7.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7.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7.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7.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7.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7.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7.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7.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7.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7.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7.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7.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7.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7.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7.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7.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7.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7.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7.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7.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7.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7.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7.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7.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7.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7.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7.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7.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7.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7.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7.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7.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7.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7.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7.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7.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7.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7.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7.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7.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7.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7.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7.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7.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7.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7.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7.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7.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7.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7.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7.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7.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7.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7.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7.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7.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7.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7.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7.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7.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7.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7.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7.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7.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7.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7.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7.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7.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7.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7.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7.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7.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7.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7.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7.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7.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7.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7.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7.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7.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7.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7.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7.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7.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7.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7.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7.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7.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7.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7.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7.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7.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7.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7.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7.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7.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7.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7.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7.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7.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7.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7.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7.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7.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7.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7.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7.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7.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7.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7.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7.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7.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7.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7.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7.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7.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7.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7.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7.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7.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7.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7.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7.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7.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7.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7.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7.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7.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7.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7.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7.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7.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7.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7.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7.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7.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7.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7.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7.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7.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7.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7.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7.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7.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7.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7.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7.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7.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7.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7.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7.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7.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7.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7.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7.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7.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7.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7.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7.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7.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7.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7.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7.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7.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7.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7.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7.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7.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7.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7.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7.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7.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7.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7.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7.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7.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7.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7.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7.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7.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7.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7.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7.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7.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7.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7.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7.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7.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7.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7.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7.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7.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7.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7.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7.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7.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7.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7.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7.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7.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7.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7.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7.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7.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7.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7.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7.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7.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7.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7.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7.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7.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7.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7.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7.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7.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7.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7.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7.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7.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7.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7.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7.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7.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7.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7.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7.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7.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7.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7.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7.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7.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7.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7.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7.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7.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7.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7.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7.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7.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7.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7.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7.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7.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7.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7.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7.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7.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7.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7.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7.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7.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7.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7.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7.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7.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7.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7.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7.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7.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7.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7.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7.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7.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7.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7.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7.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7.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7.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7.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7.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7.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7.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7.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7.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7.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7.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7.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7.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7.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7.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7.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7.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7.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7.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7.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7.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7.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7.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7.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7.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7.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7.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7.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7.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7.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7.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7.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7.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7.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7.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7.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7.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7.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7.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7.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7.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7.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7.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7.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7.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7.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7.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7.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7.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7.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7.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7.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7.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7.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7.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7.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7.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7.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7.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7.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7.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7.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7.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7.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7.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7.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7.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7.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7.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7.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7.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7.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7.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autoFilter ref="A18:P37" xr:uid="{00000000-0009-0000-0000-000001000000}"/>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33" sqref="B33"/>
    </sheetView>
  </sheetViews>
  <sheetFormatPr baseColWidth="10" defaultColWidth="14.5" defaultRowHeight="15" customHeight="1"/>
  <cols>
    <col min="1" max="1" width="43.6640625" customWidth="1"/>
    <col min="2" max="2" width="20.33203125" customWidth="1"/>
    <col min="3" max="3" width="18.6640625" customWidth="1"/>
    <col min="4" max="4" width="21.33203125" customWidth="1"/>
    <col min="5" max="5" width="18" customWidth="1"/>
    <col min="6" max="6" width="17.83203125" customWidth="1"/>
    <col min="7" max="7" width="31.5" customWidth="1"/>
    <col min="8" max="8" width="36.5" customWidth="1"/>
    <col min="9" max="9" width="21.33203125" customWidth="1"/>
    <col min="10" max="10" width="14.5" customWidth="1"/>
    <col min="11" max="11" width="12.33203125" customWidth="1"/>
    <col min="12" max="15" width="12.6640625" customWidth="1"/>
    <col min="16" max="16" width="13.6640625" customWidth="1"/>
    <col min="17" max="26" width="8.6640625" customWidth="1"/>
  </cols>
  <sheetData>
    <row r="1" spans="1:26" ht="15.75" customHeight="1">
      <c r="A1" s="41" t="s">
        <v>27</v>
      </c>
      <c r="B1" s="2"/>
      <c r="C1" s="2"/>
      <c r="D1" s="2"/>
      <c r="E1" s="2"/>
      <c r="F1" s="2"/>
      <c r="G1" s="2"/>
      <c r="H1" s="2"/>
      <c r="I1" s="2"/>
      <c r="J1" s="2"/>
      <c r="K1" s="2"/>
      <c r="L1" s="2"/>
      <c r="M1" s="2"/>
      <c r="N1" s="3"/>
      <c r="O1" s="2"/>
      <c r="P1" s="2"/>
      <c r="Q1" s="2"/>
      <c r="R1" s="2"/>
      <c r="S1" s="2"/>
      <c r="T1" s="2"/>
      <c r="U1" s="2"/>
      <c r="V1" s="2"/>
      <c r="W1" s="2"/>
      <c r="X1" s="2"/>
      <c r="Y1" s="2"/>
      <c r="Z1" s="2"/>
    </row>
    <row r="2" spans="1:26" ht="15.75" customHeight="1">
      <c r="A2" s="3" t="s">
        <v>28</v>
      </c>
      <c r="B2" s="2"/>
      <c r="C2" s="2"/>
      <c r="D2" s="2"/>
      <c r="E2" s="2"/>
      <c r="F2" s="2"/>
      <c r="G2" s="2"/>
      <c r="H2" s="2"/>
      <c r="I2" s="2"/>
      <c r="J2" s="2"/>
      <c r="K2" s="2"/>
      <c r="L2" s="2"/>
      <c r="M2" s="2"/>
      <c r="N2" s="3"/>
      <c r="O2" s="2"/>
      <c r="P2" s="2"/>
      <c r="Q2" s="2"/>
      <c r="R2" s="2"/>
      <c r="S2" s="2"/>
      <c r="T2" s="2"/>
      <c r="U2" s="2"/>
      <c r="V2" s="2"/>
      <c r="W2" s="2"/>
      <c r="X2" s="2"/>
      <c r="Y2" s="2"/>
      <c r="Z2" s="2"/>
    </row>
    <row r="3" spans="1:26" ht="15.75" customHeight="1">
      <c r="A3" s="2" t="s">
        <v>29</v>
      </c>
      <c r="B3" s="2"/>
      <c r="C3" s="2"/>
      <c r="D3" s="2"/>
      <c r="E3" s="2"/>
      <c r="F3" s="2"/>
      <c r="G3" s="2"/>
      <c r="H3" s="2"/>
      <c r="I3" s="2"/>
      <c r="J3" s="2"/>
      <c r="K3" s="2"/>
      <c r="L3" s="2"/>
      <c r="M3" s="2"/>
      <c r="N3" s="2"/>
      <c r="O3" s="2"/>
      <c r="P3" s="2"/>
      <c r="Q3" s="2"/>
      <c r="R3" s="2"/>
      <c r="S3" s="2"/>
      <c r="T3" s="2"/>
      <c r="U3" s="2"/>
      <c r="V3" s="2"/>
      <c r="W3" s="2"/>
      <c r="X3" s="2"/>
      <c r="Y3" s="2"/>
      <c r="Z3" s="2"/>
    </row>
    <row r="4" spans="1:26" ht="15.75" customHeight="1">
      <c r="A4" s="2" t="s">
        <v>30</v>
      </c>
      <c r="B4" s="2"/>
      <c r="C4" s="2"/>
      <c r="D4" s="2"/>
      <c r="E4" s="2"/>
      <c r="F4" s="2"/>
      <c r="G4" s="2"/>
      <c r="H4" s="2"/>
      <c r="I4" s="2"/>
      <c r="J4" s="2"/>
      <c r="K4" s="2"/>
      <c r="L4" s="2"/>
      <c r="M4" s="2"/>
      <c r="N4" s="2"/>
      <c r="O4" s="2"/>
      <c r="P4" s="2"/>
      <c r="Q4" s="2"/>
      <c r="R4" s="2"/>
      <c r="S4" s="2"/>
      <c r="T4" s="2"/>
      <c r="U4" s="2"/>
      <c r="V4" s="2"/>
      <c r="W4" s="2"/>
      <c r="X4" s="2"/>
      <c r="Y4" s="2"/>
      <c r="Z4" s="2"/>
    </row>
    <row r="5" spans="1:26" ht="15.75" customHeight="1">
      <c r="A5" s="2" t="s">
        <v>31</v>
      </c>
      <c r="B5" s="2"/>
      <c r="C5" s="2"/>
      <c r="D5" s="2"/>
      <c r="E5" s="2"/>
      <c r="F5" s="2"/>
      <c r="G5" s="2"/>
      <c r="H5" s="2"/>
      <c r="I5" s="2"/>
      <c r="J5" s="2"/>
      <c r="K5" s="2"/>
      <c r="L5" s="2"/>
      <c r="M5" s="2"/>
      <c r="N5" s="2"/>
      <c r="O5" s="2"/>
      <c r="P5" s="2"/>
      <c r="Q5" s="2"/>
      <c r="R5" s="2"/>
      <c r="S5" s="2"/>
      <c r="T5" s="2"/>
      <c r="U5" s="2"/>
      <c r="V5" s="2"/>
      <c r="W5" s="2"/>
      <c r="X5" s="2"/>
      <c r="Y5" s="2"/>
      <c r="Z5" s="2"/>
    </row>
    <row r="6" spans="1:26" ht="15.75" customHeight="1">
      <c r="A6" s="2" t="s">
        <v>32</v>
      </c>
      <c r="B6" s="2"/>
      <c r="C6" s="2"/>
      <c r="D6" s="2"/>
      <c r="E6" s="2"/>
      <c r="F6" s="2"/>
      <c r="G6" s="2"/>
      <c r="H6" s="2"/>
      <c r="I6" s="2"/>
      <c r="J6" s="2"/>
      <c r="K6" s="2"/>
      <c r="L6" s="2"/>
      <c r="M6" s="2"/>
      <c r="N6" s="2"/>
      <c r="O6" s="2"/>
      <c r="P6" s="2"/>
      <c r="Q6" s="2"/>
      <c r="R6" s="2"/>
      <c r="S6" s="2"/>
      <c r="T6" s="2"/>
      <c r="U6" s="2"/>
      <c r="V6" s="2"/>
      <c r="W6" s="2"/>
      <c r="X6" s="2"/>
      <c r="Y6" s="2"/>
      <c r="Z6" s="2"/>
    </row>
    <row r="7" spans="1:26" ht="15.75" customHeight="1">
      <c r="A7" s="2" t="s">
        <v>33</v>
      </c>
      <c r="B7" s="2"/>
      <c r="C7" s="2"/>
      <c r="D7" s="2"/>
      <c r="E7" s="2"/>
      <c r="F7" s="2"/>
      <c r="G7" s="2"/>
      <c r="H7" s="2"/>
      <c r="I7" s="2"/>
      <c r="J7" s="2"/>
      <c r="K7" s="2"/>
      <c r="L7" s="2"/>
      <c r="M7" s="2"/>
      <c r="N7" s="2"/>
      <c r="O7" s="2"/>
      <c r="P7" s="2"/>
      <c r="Q7" s="2"/>
      <c r="R7" s="2"/>
      <c r="S7" s="2"/>
      <c r="T7" s="2"/>
      <c r="U7" s="2"/>
      <c r="V7" s="2"/>
      <c r="W7" s="2"/>
      <c r="X7" s="2"/>
      <c r="Y7" s="2"/>
      <c r="Z7" s="2"/>
    </row>
    <row r="8" spans="1:26" ht="15.75" customHeight="1">
      <c r="A8" s="2" t="s">
        <v>34</v>
      </c>
      <c r="B8" s="2"/>
      <c r="C8" s="2"/>
      <c r="D8" s="2"/>
      <c r="E8" s="2"/>
      <c r="F8" s="2"/>
      <c r="G8" s="2"/>
      <c r="H8" s="2"/>
      <c r="I8" s="2"/>
      <c r="J8" s="2"/>
      <c r="K8" s="2"/>
      <c r="L8" s="2"/>
      <c r="M8" s="2"/>
      <c r="N8" s="2"/>
      <c r="O8" s="2"/>
      <c r="P8" s="2"/>
      <c r="Q8" s="2"/>
      <c r="R8" s="2"/>
      <c r="S8" s="2"/>
      <c r="T8" s="2"/>
      <c r="U8" s="2"/>
      <c r="V8" s="2"/>
      <c r="W8" s="2"/>
      <c r="X8" s="2"/>
      <c r="Y8" s="2"/>
      <c r="Z8" s="2"/>
    </row>
    <row r="9" spans="1:26" ht="15.75" customHeight="1">
      <c r="A9" s="2" t="s">
        <v>35</v>
      </c>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84" t="s">
        <v>36</v>
      </c>
      <c r="C10" s="85"/>
      <c r="D10" s="85"/>
      <c r="E10" s="85"/>
      <c r="F10" s="2"/>
      <c r="G10" s="84" t="s">
        <v>37</v>
      </c>
      <c r="H10" s="85"/>
      <c r="I10" s="85"/>
      <c r="J10" s="85"/>
      <c r="K10" s="2"/>
      <c r="L10" s="8" t="s">
        <v>38</v>
      </c>
      <c r="M10" s="2"/>
      <c r="N10" s="2"/>
      <c r="O10" s="2"/>
      <c r="P10" s="2"/>
      <c r="Q10" s="2"/>
      <c r="R10" s="2"/>
      <c r="S10" s="2"/>
      <c r="T10" s="2"/>
      <c r="U10" s="2"/>
      <c r="V10" s="2"/>
      <c r="W10" s="2"/>
      <c r="X10" s="2"/>
      <c r="Y10" s="2"/>
      <c r="Z10" s="2"/>
    </row>
    <row r="11" spans="1:26" ht="15.75" customHeight="1">
      <c r="A11" s="3"/>
      <c r="B11" s="84" t="s">
        <v>39</v>
      </c>
      <c r="C11" s="85"/>
      <c r="D11" s="84" t="s">
        <v>40</v>
      </c>
      <c r="E11" s="85"/>
      <c r="F11" s="2"/>
      <c r="G11" s="84" t="s">
        <v>41</v>
      </c>
      <c r="H11" s="85"/>
      <c r="I11" s="84" t="s">
        <v>40</v>
      </c>
      <c r="J11" s="85"/>
      <c r="K11" s="2"/>
      <c r="L11" s="42">
        <v>0.1</v>
      </c>
      <c r="M11" s="2"/>
      <c r="N11" s="2"/>
      <c r="O11" s="2"/>
      <c r="P11" s="2"/>
      <c r="Q11" s="2"/>
      <c r="R11" s="2"/>
      <c r="S11" s="2"/>
      <c r="T11" s="2"/>
      <c r="U11" s="2"/>
      <c r="V11" s="2"/>
      <c r="W11" s="2"/>
      <c r="X11" s="2"/>
      <c r="Y11" s="2"/>
      <c r="Z11" s="2"/>
    </row>
    <row r="12" spans="1:26" ht="15.75" customHeight="1">
      <c r="A12" s="43" t="s">
        <v>42</v>
      </c>
      <c r="B12" s="11" t="s">
        <v>43</v>
      </c>
      <c r="C12" s="11" t="s">
        <v>44</v>
      </c>
      <c r="D12" s="11" t="s">
        <v>43</v>
      </c>
      <c r="E12" s="11" t="s">
        <v>44</v>
      </c>
      <c r="F12" s="2"/>
      <c r="G12" s="11" t="s">
        <v>45</v>
      </c>
      <c r="H12" s="11" t="s">
        <v>44</v>
      </c>
      <c r="I12" s="44" t="s">
        <v>45</v>
      </c>
      <c r="J12" s="11" t="s">
        <v>44</v>
      </c>
      <c r="K12" s="2"/>
      <c r="L12" s="2"/>
      <c r="M12" s="2"/>
      <c r="N12" s="2"/>
      <c r="O12" s="2"/>
      <c r="P12" s="2"/>
      <c r="Q12" s="2"/>
      <c r="R12" s="2"/>
      <c r="S12" s="2"/>
      <c r="T12" s="2"/>
      <c r="U12" s="2"/>
      <c r="V12" s="2"/>
      <c r="W12" s="2"/>
      <c r="X12" s="2"/>
      <c r="Y12" s="2"/>
      <c r="Z12" s="2"/>
    </row>
    <row r="13" spans="1:26" ht="15.75" customHeight="1">
      <c r="A13" s="45" t="s">
        <v>46</v>
      </c>
      <c r="B13" s="46">
        <v>69.989999999999995</v>
      </c>
      <c r="C13" s="47" t="s">
        <v>47</v>
      </c>
      <c r="D13" s="46">
        <v>0</v>
      </c>
      <c r="E13" s="47" t="s">
        <v>48</v>
      </c>
      <c r="F13" s="2"/>
      <c r="G13" s="46">
        <v>30</v>
      </c>
      <c r="H13" s="47" t="s">
        <v>47</v>
      </c>
      <c r="I13" s="46">
        <v>0</v>
      </c>
      <c r="J13" s="47" t="s">
        <v>48</v>
      </c>
      <c r="K13" s="2"/>
      <c r="L13" s="2"/>
      <c r="M13" s="2"/>
      <c r="N13" s="2"/>
      <c r="O13" s="2"/>
      <c r="P13" s="2"/>
      <c r="Q13" s="2"/>
      <c r="R13" s="2"/>
      <c r="S13" s="2"/>
      <c r="T13" s="2"/>
      <c r="U13" s="2"/>
      <c r="V13" s="2"/>
      <c r="W13" s="2"/>
      <c r="X13" s="2"/>
      <c r="Y13" s="2"/>
      <c r="Z13" s="2"/>
    </row>
    <row r="14" spans="1:26" ht="15.75" customHeight="1">
      <c r="A14" s="48" t="s">
        <v>49</v>
      </c>
      <c r="B14" s="49">
        <v>0</v>
      </c>
      <c r="C14" s="50" t="s">
        <v>47</v>
      </c>
      <c r="D14" s="49">
        <v>14.99</v>
      </c>
      <c r="E14" s="50" t="s">
        <v>48</v>
      </c>
      <c r="F14" s="2"/>
      <c r="G14" s="49">
        <v>0</v>
      </c>
      <c r="H14" s="50" t="s">
        <v>47</v>
      </c>
      <c r="I14" s="49">
        <v>1</v>
      </c>
      <c r="J14" s="50" t="s">
        <v>48</v>
      </c>
      <c r="K14" s="2"/>
      <c r="L14" s="2"/>
      <c r="M14" s="2"/>
      <c r="N14" s="2"/>
      <c r="O14" s="2"/>
      <c r="P14" s="2"/>
      <c r="Q14" s="2"/>
      <c r="R14" s="2"/>
      <c r="S14" s="2"/>
      <c r="T14" s="2"/>
      <c r="U14" s="2"/>
      <c r="V14" s="2"/>
      <c r="W14" s="2"/>
      <c r="X14" s="2"/>
      <c r="Y14" s="2"/>
      <c r="Z14" s="2"/>
    </row>
    <row r="15" spans="1:26" ht="15.75" customHeight="1">
      <c r="A15" s="51"/>
      <c r="B15" s="11"/>
      <c r="C15" s="11"/>
      <c r="D15" s="11"/>
      <c r="E15" s="2"/>
      <c r="F15" s="2"/>
      <c r="G15" s="2"/>
      <c r="H15" s="2"/>
      <c r="I15" s="2"/>
      <c r="J15" s="2"/>
      <c r="K15" s="2"/>
      <c r="L15" s="2"/>
      <c r="M15" s="2"/>
      <c r="N15" s="2"/>
      <c r="O15" s="2"/>
      <c r="P15" s="2"/>
      <c r="Q15" s="2"/>
      <c r="R15" s="2"/>
      <c r="S15" s="2"/>
      <c r="T15" s="2"/>
      <c r="U15" s="2"/>
      <c r="V15" s="2"/>
      <c r="W15" s="2"/>
      <c r="X15" s="2"/>
      <c r="Y15" s="2"/>
      <c r="Z15" s="2"/>
    </row>
    <row r="16" spans="1:26" ht="15.75" customHeight="1">
      <c r="A16" s="51"/>
      <c r="B16" s="11"/>
      <c r="C16" s="11"/>
      <c r="D16" s="11"/>
      <c r="E16" s="2"/>
      <c r="F16" s="2"/>
      <c r="G16" s="2"/>
      <c r="H16" s="2"/>
      <c r="I16" s="2"/>
      <c r="J16" s="2"/>
      <c r="K16" s="2"/>
      <c r="L16" s="2"/>
      <c r="M16" s="2"/>
      <c r="N16" s="2"/>
      <c r="O16" s="2"/>
      <c r="P16" s="2"/>
      <c r="Q16" s="2"/>
      <c r="R16" s="2"/>
      <c r="S16" s="2"/>
      <c r="T16" s="2"/>
      <c r="U16" s="2"/>
      <c r="V16" s="2"/>
      <c r="W16" s="2"/>
      <c r="X16" s="2"/>
      <c r="Y16" s="2"/>
      <c r="Z16" s="2"/>
    </row>
    <row r="17" spans="1:26" ht="15.75" customHeight="1">
      <c r="A17" s="51"/>
      <c r="B17" s="11"/>
      <c r="C17" s="11"/>
      <c r="D17" s="11"/>
      <c r="E17" s="2"/>
      <c r="F17" s="2"/>
      <c r="G17" s="2"/>
      <c r="H17" s="2"/>
      <c r="I17" s="2"/>
      <c r="J17" s="2"/>
      <c r="K17" s="2"/>
      <c r="L17" s="2"/>
      <c r="M17" s="2"/>
      <c r="N17" s="2"/>
      <c r="O17" s="2"/>
      <c r="P17" s="2"/>
      <c r="Q17" s="2"/>
      <c r="R17" s="2"/>
      <c r="S17" s="2"/>
      <c r="T17" s="2"/>
      <c r="U17" s="2"/>
      <c r="V17" s="2"/>
      <c r="W17" s="2"/>
      <c r="X17" s="2"/>
      <c r="Y17" s="2"/>
      <c r="Z17" s="2"/>
    </row>
    <row r="18" spans="1:26" ht="15.75" customHeight="1">
      <c r="A18" s="52" t="s">
        <v>50</v>
      </c>
      <c r="B18" s="53">
        <f>SalesMktg!B8</f>
        <v>45505</v>
      </c>
      <c r="C18" s="53">
        <f>SalesMktg!C8</f>
        <v>45536</v>
      </c>
      <c r="D18" s="53">
        <f>SalesMktg!D8</f>
        <v>45566</v>
      </c>
      <c r="E18" s="53">
        <f>SalesMktg!E8</f>
        <v>45597</v>
      </c>
      <c r="F18" s="53">
        <f>SalesMktg!F8</f>
        <v>45627</v>
      </c>
      <c r="G18" s="53">
        <f>SalesMktg!G8</f>
        <v>45658</v>
      </c>
      <c r="H18" s="53">
        <f>SalesMktg!H8</f>
        <v>45689</v>
      </c>
      <c r="I18" s="53">
        <f>SalesMktg!I8</f>
        <v>45717</v>
      </c>
      <c r="J18" s="53">
        <f>SalesMktg!J8</f>
        <v>45748</v>
      </c>
      <c r="K18" s="53">
        <f>SalesMktg!K8</f>
        <v>45778</v>
      </c>
      <c r="L18" s="53">
        <f>SalesMktg!L8</f>
        <v>45809</v>
      </c>
      <c r="M18" s="53">
        <f>SalesMktg!M8</f>
        <v>45839</v>
      </c>
      <c r="N18" s="54" t="str">
        <f>SalesMktg!N8</f>
        <v>2024-25</v>
      </c>
      <c r="O18" s="54" t="str">
        <f>SalesMktg!O8</f>
        <v>2025-26</v>
      </c>
      <c r="P18" s="54" t="str">
        <f>SalesMktg!P8</f>
        <v>2026-27</v>
      </c>
      <c r="Q18" s="2"/>
      <c r="R18" s="2"/>
      <c r="S18" s="2"/>
      <c r="T18" s="2"/>
      <c r="U18" s="2"/>
      <c r="V18" s="2"/>
      <c r="W18" s="2"/>
      <c r="X18" s="2"/>
      <c r="Y18" s="2"/>
      <c r="Z18" s="2"/>
    </row>
    <row r="19" spans="1:26" ht="15.75" customHeight="1">
      <c r="A19" s="55" t="s">
        <v>51</v>
      </c>
      <c r="B19" s="56">
        <f>SalesMktg!B42</f>
        <v>0</v>
      </c>
      <c r="C19" s="56">
        <f>SalesMktg!C42</f>
        <v>0</v>
      </c>
      <c r="D19" s="56">
        <f>SalesMktg!D42</f>
        <v>0</v>
      </c>
      <c r="E19" s="56">
        <f>SalesMktg!E42</f>
        <v>0</v>
      </c>
      <c r="F19" s="56">
        <f>SalesMktg!F42</f>
        <v>0</v>
      </c>
      <c r="G19" s="56">
        <f>SalesMktg!G42</f>
        <v>0</v>
      </c>
      <c r="H19" s="56">
        <f>SalesMktg!H42</f>
        <v>0</v>
      </c>
      <c r="I19" s="56">
        <f>SalesMktg!I42</f>
        <v>0</v>
      </c>
      <c r="J19" s="56">
        <f>SalesMktg!J42</f>
        <v>0</v>
      </c>
      <c r="K19" s="56">
        <f>SalesMktg!K42</f>
        <v>0</v>
      </c>
      <c r="L19" s="56">
        <f>SalesMktg!L42</f>
        <v>0</v>
      </c>
      <c r="M19" s="56">
        <f>SalesMktg!M42</f>
        <v>0</v>
      </c>
      <c r="N19" s="56">
        <f>SUM(B19:M19)</f>
        <v>0</v>
      </c>
      <c r="O19" s="56">
        <f>SalesMktg!O42</f>
        <v>0</v>
      </c>
      <c r="P19" s="56">
        <f>SalesMktg!P42</f>
        <v>0</v>
      </c>
      <c r="Q19" s="2"/>
      <c r="R19" s="2"/>
      <c r="S19" s="2"/>
      <c r="T19" s="2"/>
      <c r="U19" s="2"/>
      <c r="V19" s="2"/>
      <c r="W19" s="2"/>
      <c r="X19" s="2"/>
      <c r="Y19" s="2"/>
      <c r="Z19" s="2"/>
    </row>
    <row r="20" spans="1:26" ht="15.75" customHeight="1">
      <c r="A20" s="57" t="s">
        <v>52</v>
      </c>
      <c r="B20" s="58">
        <v>0</v>
      </c>
      <c r="C20" s="56">
        <f>B19*(1-'Unit Economics'!$L$11)</f>
        <v>0</v>
      </c>
      <c r="D20" s="56">
        <f>C19*(1-'Unit Economics'!$L$11)</f>
        <v>0</v>
      </c>
      <c r="E20" s="56">
        <f>D19*(1-'Unit Economics'!$L$11)</f>
        <v>0</v>
      </c>
      <c r="F20" s="56">
        <f>E19*(1-'Unit Economics'!$L$11)</f>
        <v>0</v>
      </c>
      <c r="G20" s="56">
        <f>F19*(1-'Unit Economics'!$L$11)</f>
        <v>0</v>
      </c>
      <c r="H20" s="56">
        <f>G19*(1-'Unit Economics'!$L$11)</f>
        <v>0</v>
      </c>
      <c r="I20" s="56">
        <f>H19*(1-'Unit Economics'!$L$11)</f>
        <v>0</v>
      </c>
      <c r="J20" s="56">
        <f>I19*(1-'Unit Economics'!$L$11)</f>
        <v>0</v>
      </c>
      <c r="K20" s="56">
        <f>J19*(1-'Unit Economics'!$L$11)</f>
        <v>0</v>
      </c>
      <c r="L20" s="56">
        <f>K19*(1-'Unit Economics'!$L$11)</f>
        <v>0</v>
      </c>
      <c r="M20" s="56">
        <f>L19*(1-'Unit Economics'!$L$11)</f>
        <v>0</v>
      </c>
      <c r="N20" s="56">
        <f>M19*(1-'Unit Economics'!$L$11)</f>
        <v>0</v>
      </c>
      <c r="O20" s="56">
        <f t="shared" ref="O20:P20" si="0">N20*(1-$L$11)</f>
        <v>0</v>
      </c>
      <c r="P20" s="56">
        <f t="shared" si="0"/>
        <v>0</v>
      </c>
      <c r="Q20" s="2"/>
      <c r="R20" s="2"/>
      <c r="S20" s="2"/>
      <c r="T20" s="2"/>
      <c r="U20" s="2"/>
      <c r="V20" s="2"/>
      <c r="W20" s="2"/>
      <c r="X20" s="2"/>
      <c r="Y20" s="2"/>
      <c r="Z20" s="2"/>
    </row>
    <row r="21" spans="1:26" ht="15.75" customHeight="1">
      <c r="A21" s="59"/>
      <c r="B21" s="59"/>
      <c r="C21" s="59"/>
      <c r="D21" s="59"/>
      <c r="E21" s="59"/>
      <c r="F21" s="59"/>
      <c r="G21" s="59"/>
      <c r="H21" s="59"/>
      <c r="I21" s="59"/>
      <c r="J21" s="59"/>
      <c r="K21" s="59"/>
      <c r="L21" s="59"/>
      <c r="M21" s="59"/>
      <c r="N21" s="59"/>
      <c r="O21" s="59"/>
      <c r="P21" s="59"/>
      <c r="Q21" s="2"/>
      <c r="R21" s="2"/>
      <c r="S21" s="2"/>
      <c r="T21" s="2"/>
      <c r="U21" s="2"/>
      <c r="V21" s="2"/>
      <c r="W21" s="2"/>
      <c r="X21" s="2"/>
      <c r="Y21" s="2"/>
      <c r="Z21" s="2"/>
    </row>
    <row r="22" spans="1:26" ht="15.75" customHeight="1">
      <c r="A22" s="60" t="s">
        <v>53</v>
      </c>
      <c r="B22" s="59"/>
      <c r="C22" s="59"/>
      <c r="D22" s="59"/>
      <c r="E22" s="59"/>
      <c r="F22" s="59"/>
      <c r="G22" s="59"/>
      <c r="H22" s="59"/>
      <c r="I22" s="59"/>
      <c r="J22" s="59"/>
      <c r="K22" s="59"/>
      <c r="L22" s="59"/>
      <c r="M22" s="59"/>
      <c r="N22" s="59"/>
      <c r="O22" s="59"/>
      <c r="P22" s="59"/>
      <c r="Q22" s="2"/>
      <c r="R22" s="2"/>
      <c r="S22" s="2"/>
      <c r="T22" s="2"/>
      <c r="U22" s="2"/>
      <c r="V22" s="2"/>
      <c r="W22" s="2"/>
      <c r="X22" s="2"/>
      <c r="Y22" s="2"/>
      <c r="Z22" s="2"/>
    </row>
    <row r="23" spans="1:26" ht="15.75" customHeight="1">
      <c r="A23" s="61" t="str">
        <f t="shared" ref="A23:A26" si="1">$A13</f>
        <v>FitBox Gym Machine + Free Mobile App</v>
      </c>
      <c r="B23" s="62">
        <f t="shared" ref="B23:M23" si="2">($B13*B$19)+($D13*B$20)</f>
        <v>0</v>
      </c>
      <c r="C23" s="62">
        <f t="shared" si="2"/>
        <v>0</v>
      </c>
      <c r="D23" s="62">
        <f t="shared" si="2"/>
        <v>0</v>
      </c>
      <c r="E23" s="62">
        <f t="shared" si="2"/>
        <v>0</v>
      </c>
      <c r="F23" s="62">
        <f t="shared" si="2"/>
        <v>0</v>
      </c>
      <c r="G23" s="62">
        <f t="shared" si="2"/>
        <v>0</v>
      </c>
      <c r="H23" s="62">
        <f t="shared" si="2"/>
        <v>0</v>
      </c>
      <c r="I23" s="62">
        <f t="shared" si="2"/>
        <v>0</v>
      </c>
      <c r="J23" s="62">
        <f t="shared" si="2"/>
        <v>0</v>
      </c>
      <c r="K23" s="62">
        <f t="shared" si="2"/>
        <v>0</v>
      </c>
      <c r="L23" s="62">
        <f t="shared" si="2"/>
        <v>0</v>
      </c>
      <c r="M23" s="62">
        <f t="shared" si="2"/>
        <v>0</v>
      </c>
      <c r="N23" s="63">
        <f t="shared" ref="N23:N26" si="3">SUM(B23:M23)</f>
        <v>0</v>
      </c>
      <c r="O23" s="63">
        <f t="shared" ref="O23:P23" si="4">($B13*O$19)+($D13*O$20)</f>
        <v>0</v>
      </c>
      <c r="P23" s="63">
        <f t="shared" si="4"/>
        <v>0</v>
      </c>
      <c r="Q23" s="2"/>
      <c r="R23" s="2"/>
      <c r="S23" s="2"/>
      <c r="T23" s="2"/>
      <c r="U23" s="2"/>
      <c r="V23" s="2"/>
      <c r="W23" s="2"/>
      <c r="X23" s="2"/>
      <c r="Y23" s="2"/>
      <c r="Z23" s="2"/>
    </row>
    <row r="24" spans="1:26" ht="15.75" customHeight="1">
      <c r="A24" s="61" t="str">
        <f t="shared" si="1"/>
        <v>Premium Model for the Mobile App</v>
      </c>
      <c r="B24" s="62">
        <f t="shared" ref="B24:M24" si="5">($B14*B$19)+($D14*B$20)</f>
        <v>0</v>
      </c>
      <c r="C24" s="62">
        <f t="shared" si="5"/>
        <v>0</v>
      </c>
      <c r="D24" s="62">
        <f t="shared" si="5"/>
        <v>0</v>
      </c>
      <c r="E24" s="62">
        <f t="shared" si="5"/>
        <v>0</v>
      </c>
      <c r="F24" s="62">
        <f t="shared" si="5"/>
        <v>0</v>
      </c>
      <c r="G24" s="62">
        <f t="shared" si="5"/>
        <v>0</v>
      </c>
      <c r="H24" s="62">
        <f t="shared" si="5"/>
        <v>0</v>
      </c>
      <c r="I24" s="62">
        <f t="shared" si="5"/>
        <v>0</v>
      </c>
      <c r="J24" s="62">
        <f t="shared" si="5"/>
        <v>0</v>
      </c>
      <c r="K24" s="62">
        <f t="shared" si="5"/>
        <v>0</v>
      </c>
      <c r="L24" s="62">
        <f t="shared" si="5"/>
        <v>0</v>
      </c>
      <c r="M24" s="62">
        <f t="shared" si="5"/>
        <v>0</v>
      </c>
      <c r="N24" s="63">
        <f t="shared" si="3"/>
        <v>0</v>
      </c>
      <c r="O24" s="63">
        <f t="shared" ref="O24:P24" si="6">($B14*O$19)+($D14*O$20)</f>
        <v>0</v>
      </c>
      <c r="P24" s="63">
        <f t="shared" si="6"/>
        <v>0</v>
      </c>
      <c r="Q24" s="2"/>
      <c r="R24" s="2"/>
      <c r="S24" s="2"/>
      <c r="T24" s="2"/>
      <c r="U24" s="2"/>
      <c r="V24" s="2"/>
      <c r="W24" s="2"/>
      <c r="X24" s="2"/>
      <c r="Y24" s="2"/>
      <c r="Z24" s="2"/>
    </row>
    <row r="25" spans="1:26" ht="15.75" customHeight="1">
      <c r="A25" s="61">
        <f t="shared" si="1"/>
        <v>0</v>
      </c>
      <c r="B25" s="62">
        <f t="shared" ref="B25:M25" si="7">($B15*B$19)+($D15*B$20)</f>
        <v>0</v>
      </c>
      <c r="C25" s="62">
        <f t="shared" si="7"/>
        <v>0</v>
      </c>
      <c r="D25" s="62">
        <f t="shared" si="7"/>
        <v>0</v>
      </c>
      <c r="E25" s="62">
        <f t="shared" si="7"/>
        <v>0</v>
      </c>
      <c r="F25" s="62">
        <f t="shared" si="7"/>
        <v>0</v>
      </c>
      <c r="G25" s="62">
        <f t="shared" si="7"/>
        <v>0</v>
      </c>
      <c r="H25" s="62">
        <f t="shared" si="7"/>
        <v>0</v>
      </c>
      <c r="I25" s="62">
        <f t="shared" si="7"/>
        <v>0</v>
      </c>
      <c r="J25" s="62">
        <f t="shared" si="7"/>
        <v>0</v>
      </c>
      <c r="K25" s="62">
        <f t="shared" si="7"/>
        <v>0</v>
      </c>
      <c r="L25" s="62">
        <f t="shared" si="7"/>
        <v>0</v>
      </c>
      <c r="M25" s="62">
        <f t="shared" si="7"/>
        <v>0</v>
      </c>
      <c r="N25" s="63">
        <f t="shared" si="3"/>
        <v>0</v>
      </c>
      <c r="O25" s="63">
        <f t="shared" ref="O25:P25" si="8">($B15*O$19)+($D15*O$20)</f>
        <v>0</v>
      </c>
      <c r="P25" s="63">
        <f t="shared" si="8"/>
        <v>0</v>
      </c>
      <c r="Q25" s="2"/>
      <c r="R25" s="2"/>
      <c r="S25" s="2"/>
      <c r="T25" s="2"/>
      <c r="U25" s="2"/>
      <c r="V25" s="2"/>
      <c r="W25" s="2"/>
      <c r="X25" s="2"/>
      <c r="Y25" s="2"/>
      <c r="Z25" s="2"/>
    </row>
    <row r="26" spans="1:26" ht="15.75" customHeight="1">
      <c r="A26" s="61">
        <f t="shared" si="1"/>
        <v>0</v>
      </c>
      <c r="B26" s="64">
        <f t="shared" ref="B26:M26" si="9">($B16*B$19)+($D16*B$20)</f>
        <v>0</v>
      </c>
      <c r="C26" s="64">
        <f t="shared" si="9"/>
        <v>0</v>
      </c>
      <c r="D26" s="64">
        <f t="shared" si="9"/>
        <v>0</v>
      </c>
      <c r="E26" s="64">
        <f t="shared" si="9"/>
        <v>0</v>
      </c>
      <c r="F26" s="64">
        <f t="shared" si="9"/>
        <v>0</v>
      </c>
      <c r="G26" s="64">
        <f t="shared" si="9"/>
        <v>0</v>
      </c>
      <c r="H26" s="64">
        <f t="shared" si="9"/>
        <v>0</v>
      </c>
      <c r="I26" s="64">
        <f t="shared" si="9"/>
        <v>0</v>
      </c>
      <c r="J26" s="64">
        <f t="shared" si="9"/>
        <v>0</v>
      </c>
      <c r="K26" s="64">
        <f t="shared" si="9"/>
        <v>0</v>
      </c>
      <c r="L26" s="64">
        <f t="shared" si="9"/>
        <v>0</v>
      </c>
      <c r="M26" s="64">
        <f t="shared" si="9"/>
        <v>0</v>
      </c>
      <c r="N26" s="65">
        <f t="shared" si="3"/>
        <v>0</v>
      </c>
      <c r="O26" s="65">
        <f t="shared" ref="O26:P26" si="10">($B16*O$19)+($D16*O$20)</f>
        <v>0</v>
      </c>
      <c r="P26" s="65">
        <f t="shared" si="10"/>
        <v>0</v>
      </c>
      <c r="Q26" s="2"/>
      <c r="R26" s="2"/>
      <c r="S26" s="2"/>
      <c r="T26" s="2"/>
      <c r="U26" s="2"/>
      <c r="V26" s="2"/>
      <c r="W26" s="2"/>
      <c r="X26" s="2"/>
      <c r="Y26" s="2"/>
      <c r="Z26" s="2"/>
    </row>
    <row r="27" spans="1:26" ht="15.75" customHeight="1">
      <c r="A27" s="59"/>
      <c r="B27" s="59"/>
      <c r="C27" s="59"/>
      <c r="D27" s="59"/>
      <c r="E27" s="59"/>
      <c r="F27" s="59"/>
      <c r="G27" s="59"/>
      <c r="H27" s="59"/>
      <c r="I27" s="59"/>
      <c r="J27" s="59"/>
      <c r="K27" s="59"/>
      <c r="L27" s="59"/>
      <c r="M27" s="59"/>
      <c r="N27" s="66"/>
      <c r="O27" s="59"/>
      <c r="P27" s="59"/>
      <c r="Q27" s="2"/>
      <c r="R27" s="2"/>
      <c r="S27" s="2"/>
      <c r="T27" s="2"/>
      <c r="U27" s="2"/>
      <c r="V27" s="2"/>
      <c r="W27" s="2"/>
      <c r="X27" s="2"/>
      <c r="Y27" s="2"/>
      <c r="Z27" s="2"/>
    </row>
    <row r="28" spans="1:26" ht="15.75" customHeight="1">
      <c r="A28" s="67" t="s">
        <v>54</v>
      </c>
      <c r="B28" s="68">
        <f t="shared" ref="B28:P28" si="11">SUM(B23:B26)</f>
        <v>0</v>
      </c>
      <c r="C28" s="68">
        <f t="shared" si="11"/>
        <v>0</v>
      </c>
      <c r="D28" s="68">
        <f t="shared" si="11"/>
        <v>0</v>
      </c>
      <c r="E28" s="68">
        <f t="shared" si="11"/>
        <v>0</v>
      </c>
      <c r="F28" s="68">
        <f t="shared" si="11"/>
        <v>0</v>
      </c>
      <c r="G28" s="68">
        <f t="shared" si="11"/>
        <v>0</v>
      </c>
      <c r="H28" s="68">
        <f t="shared" si="11"/>
        <v>0</v>
      </c>
      <c r="I28" s="68">
        <f t="shared" si="11"/>
        <v>0</v>
      </c>
      <c r="J28" s="68">
        <f t="shared" si="11"/>
        <v>0</v>
      </c>
      <c r="K28" s="68">
        <f t="shared" si="11"/>
        <v>0</v>
      </c>
      <c r="L28" s="68">
        <f t="shared" si="11"/>
        <v>0</v>
      </c>
      <c r="M28" s="68">
        <f t="shared" si="11"/>
        <v>0</v>
      </c>
      <c r="N28" s="68">
        <f t="shared" si="11"/>
        <v>0</v>
      </c>
      <c r="O28" s="68">
        <f t="shared" si="11"/>
        <v>0</v>
      </c>
      <c r="P28" s="68">
        <f t="shared" si="11"/>
        <v>0</v>
      </c>
      <c r="Q28" s="2"/>
      <c r="R28" s="2"/>
      <c r="S28" s="2"/>
      <c r="T28" s="2"/>
      <c r="U28" s="2"/>
      <c r="V28" s="2"/>
      <c r="W28" s="2"/>
      <c r="X28" s="2"/>
      <c r="Y28" s="2"/>
      <c r="Z28" s="2"/>
    </row>
    <row r="29" spans="1:26" ht="15.75" customHeight="1">
      <c r="A29" s="59"/>
      <c r="B29" s="59"/>
      <c r="C29" s="59"/>
      <c r="D29" s="59"/>
      <c r="E29" s="59"/>
      <c r="F29" s="59"/>
      <c r="G29" s="59"/>
      <c r="H29" s="59"/>
      <c r="I29" s="59"/>
      <c r="J29" s="59"/>
      <c r="K29" s="59"/>
      <c r="L29" s="59"/>
      <c r="M29" s="59"/>
      <c r="N29" s="66"/>
      <c r="O29" s="59"/>
      <c r="P29" s="59"/>
      <c r="Q29" s="2"/>
      <c r="R29" s="2"/>
      <c r="S29" s="2"/>
      <c r="T29" s="2"/>
      <c r="U29" s="2"/>
      <c r="V29" s="2"/>
      <c r="W29" s="2"/>
      <c r="X29" s="2"/>
      <c r="Y29" s="2"/>
      <c r="Z29" s="2"/>
    </row>
    <row r="30" spans="1:26" ht="15.75" customHeight="1">
      <c r="A30" s="60" t="s">
        <v>55</v>
      </c>
      <c r="B30" s="59"/>
      <c r="C30" s="59"/>
      <c r="D30" s="59"/>
      <c r="E30" s="59"/>
      <c r="F30" s="59"/>
      <c r="G30" s="59"/>
      <c r="H30" s="59"/>
      <c r="I30" s="59"/>
      <c r="J30" s="59"/>
      <c r="K30" s="59"/>
      <c r="L30" s="59"/>
      <c r="M30" s="59"/>
      <c r="N30" s="66"/>
      <c r="O30" s="59"/>
      <c r="P30" s="59"/>
      <c r="Q30" s="2"/>
      <c r="R30" s="2"/>
      <c r="S30" s="2"/>
      <c r="T30" s="2"/>
      <c r="U30" s="2"/>
      <c r="V30" s="2"/>
      <c r="W30" s="2"/>
      <c r="X30" s="2"/>
      <c r="Y30" s="2"/>
      <c r="Z30" s="2"/>
    </row>
    <row r="31" spans="1:26" ht="15.75" customHeight="1">
      <c r="A31" s="61" t="str">
        <f t="shared" ref="A31:A34" si="12">$A13</f>
        <v>FitBox Gym Machine + Free Mobile App</v>
      </c>
      <c r="B31" s="62">
        <f t="shared" ref="B31:M31" si="13">($G13*B$19)+($I13*B$20)</f>
        <v>0</v>
      </c>
      <c r="C31" s="62">
        <f t="shared" si="13"/>
        <v>0</v>
      </c>
      <c r="D31" s="62">
        <f t="shared" si="13"/>
        <v>0</v>
      </c>
      <c r="E31" s="62">
        <f t="shared" si="13"/>
        <v>0</v>
      </c>
      <c r="F31" s="62">
        <f t="shared" si="13"/>
        <v>0</v>
      </c>
      <c r="G31" s="62">
        <f t="shared" si="13"/>
        <v>0</v>
      </c>
      <c r="H31" s="62">
        <f t="shared" si="13"/>
        <v>0</v>
      </c>
      <c r="I31" s="62">
        <f t="shared" si="13"/>
        <v>0</v>
      </c>
      <c r="J31" s="62">
        <f t="shared" si="13"/>
        <v>0</v>
      </c>
      <c r="K31" s="62">
        <f t="shared" si="13"/>
        <v>0</v>
      </c>
      <c r="L31" s="62">
        <f t="shared" si="13"/>
        <v>0</v>
      </c>
      <c r="M31" s="62">
        <f t="shared" si="13"/>
        <v>0</v>
      </c>
      <c r="N31" s="63">
        <f t="shared" ref="N31:N34" si="14">SUM(B31:M31)</f>
        <v>0</v>
      </c>
      <c r="O31" s="63">
        <f t="shared" ref="O31:P31" si="15">($G13*O$19)+($I13*O$20)</f>
        <v>0</v>
      </c>
      <c r="P31" s="63">
        <f t="shared" si="15"/>
        <v>0</v>
      </c>
      <c r="Q31" s="2"/>
      <c r="R31" s="2"/>
      <c r="S31" s="2"/>
      <c r="T31" s="2"/>
      <c r="U31" s="2"/>
      <c r="V31" s="2"/>
      <c r="W31" s="2"/>
      <c r="X31" s="2"/>
      <c r="Y31" s="2"/>
      <c r="Z31" s="2"/>
    </row>
    <row r="32" spans="1:26" ht="15.75" customHeight="1">
      <c r="A32" s="61" t="str">
        <f t="shared" si="12"/>
        <v>Premium Model for the Mobile App</v>
      </c>
      <c r="B32" s="62">
        <f t="shared" ref="B32:M32" si="16">($G14*B$19)+($I14*B$20)</f>
        <v>0</v>
      </c>
      <c r="C32" s="62">
        <f t="shared" si="16"/>
        <v>0</v>
      </c>
      <c r="D32" s="62">
        <f t="shared" si="16"/>
        <v>0</v>
      </c>
      <c r="E32" s="62">
        <f t="shared" si="16"/>
        <v>0</v>
      </c>
      <c r="F32" s="62">
        <f t="shared" si="16"/>
        <v>0</v>
      </c>
      <c r="G32" s="62">
        <f t="shared" si="16"/>
        <v>0</v>
      </c>
      <c r="H32" s="62">
        <f t="shared" si="16"/>
        <v>0</v>
      </c>
      <c r="I32" s="62">
        <f t="shared" si="16"/>
        <v>0</v>
      </c>
      <c r="J32" s="62">
        <f t="shared" si="16"/>
        <v>0</v>
      </c>
      <c r="K32" s="62">
        <f t="shared" si="16"/>
        <v>0</v>
      </c>
      <c r="L32" s="62">
        <f t="shared" si="16"/>
        <v>0</v>
      </c>
      <c r="M32" s="62">
        <f t="shared" si="16"/>
        <v>0</v>
      </c>
      <c r="N32" s="63">
        <f t="shared" si="14"/>
        <v>0</v>
      </c>
      <c r="O32" s="63">
        <f t="shared" ref="O32:P32" si="17">($G14*O$19)+($I14*O$20)</f>
        <v>0</v>
      </c>
      <c r="P32" s="63">
        <f t="shared" si="17"/>
        <v>0</v>
      </c>
      <c r="Q32" s="2"/>
      <c r="R32" s="2"/>
      <c r="S32" s="2"/>
      <c r="T32" s="2"/>
      <c r="U32" s="2"/>
      <c r="V32" s="2"/>
      <c r="W32" s="2"/>
      <c r="X32" s="2"/>
      <c r="Y32" s="2"/>
      <c r="Z32" s="2"/>
    </row>
    <row r="33" spans="1:26" ht="15.75" customHeight="1">
      <c r="A33" s="61">
        <f t="shared" si="12"/>
        <v>0</v>
      </c>
      <c r="B33" s="62">
        <f t="shared" ref="B33:M33" si="18">($G15*B$19)+($I15*B$20)</f>
        <v>0</v>
      </c>
      <c r="C33" s="62">
        <f t="shared" si="18"/>
        <v>0</v>
      </c>
      <c r="D33" s="62">
        <f t="shared" si="18"/>
        <v>0</v>
      </c>
      <c r="E33" s="62">
        <f t="shared" si="18"/>
        <v>0</v>
      </c>
      <c r="F33" s="62">
        <f t="shared" si="18"/>
        <v>0</v>
      </c>
      <c r="G33" s="62">
        <f t="shared" si="18"/>
        <v>0</v>
      </c>
      <c r="H33" s="62">
        <f t="shared" si="18"/>
        <v>0</v>
      </c>
      <c r="I33" s="62">
        <f t="shared" si="18"/>
        <v>0</v>
      </c>
      <c r="J33" s="62">
        <f t="shared" si="18"/>
        <v>0</v>
      </c>
      <c r="K33" s="62">
        <f t="shared" si="18"/>
        <v>0</v>
      </c>
      <c r="L33" s="62">
        <f t="shared" si="18"/>
        <v>0</v>
      </c>
      <c r="M33" s="62">
        <f t="shared" si="18"/>
        <v>0</v>
      </c>
      <c r="N33" s="63">
        <f t="shared" si="14"/>
        <v>0</v>
      </c>
      <c r="O33" s="63">
        <f t="shared" ref="O33:P33" si="19">($G15*O$19)+($I15*O$20)</f>
        <v>0</v>
      </c>
      <c r="P33" s="63">
        <f t="shared" si="19"/>
        <v>0</v>
      </c>
      <c r="Q33" s="2"/>
      <c r="R33" s="2"/>
      <c r="S33" s="2"/>
      <c r="T33" s="2"/>
      <c r="U33" s="2"/>
      <c r="V33" s="2"/>
      <c r="W33" s="2"/>
      <c r="X33" s="2"/>
      <c r="Y33" s="2"/>
      <c r="Z33" s="2"/>
    </row>
    <row r="34" spans="1:26" ht="15.75" customHeight="1">
      <c r="A34" s="61">
        <f t="shared" si="12"/>
        <v>0</v>
      </c>
      <c r="B34" s="64">
        <f t="shared" ref="B34:M34" si="20">($G16*B$19)+($I16*B$20)</f>
        <v>0</v>
      </c>
      <c r="C34" s="64">
        <f t="shared" si="20"/>
        <v>0</v>
      </c>
      <c r="D34" s="64">
        <f t="shared" si="20"/>
        <v>0</v>
      </c>
      <c r="E34" s="64">
        <f t="shared" si="20"/>
        <v>0</v>
      </c>
      <c r="F34" s="64">
        <f t="shared" si="20"/>
        <v>0</v>
      </c>
      <c r="G34" s="64">
        <f t="shared" si="20"/>
        <v>0</v>
      </c>
      <c r="H34" s="64">
        <f t="shared" si="20"/>
        <v>0</v>
      </c>
      <c r="I34" s="64">
        <f t="shared" si="20"/>
        <v>0</v>
      </c>
      <c r="J34" s="64">
        <f t="shared" si="20"/>
        <v>0</v>
      </c>
      <c r="K34" s="64">
        <f t="shared" si="20"/>
        <v>0</v>
      </c>
      <c r="L34" s="64">
        <f t="shared" si="20"/>
        <v>0</v>
      </c>
      <c r="M34" s="64">
        <f t="shared" si="20"/>
        <v>0</v>
      </c>
      <c r="N34" s="65">
        <f t="shared" si="14"/>
        <v>0</v>
      </c>
      <c r="O34" s="65">
        <f t="shared" ref="O34:P34" si="21">($G16*O$19)+($I16*O$20)</f>
        <v>0</v>
      </c>
      <c r="P34" s="65">
        <f t="shared" si="21"/>
        <v>0</v>
      </c>
      <c r="Q34" s="2"/>
      <c r="R34" s="2"/>
      <c r="S34" s="2"/>
      <c r="T34" s="2"/>
      <c r="U34" s="2"/>
      <c r="V34" s="2"/>
      <c r="W34" s="2"/>
      <c r="X34" s="2"/>
      <c r="Y34" s="2"/>
      <c r="Z34" s="2"/>
    </row>
    <row r="35" spans="1:26" ht="15.75" customHeight="1">
      <c r="A35" s="59"/>
      <c r="B35" s="59"/>
      <c r="C35" s="59"/>
      <c r="D35" s="59"/>
      <c r="E35" s="59"/>
      <c r="F35" s="59"/>
      <c r="G35" s="59"/>
      <c r="H35" s="59"/>
      <c r="I35" s="59"/>
      <c r="J35" s="59"/>
      <c r="K35" s="59"/>
      <c r="L35" s="59"/>
      <c r="M35" s="59"/>
      <c r="N35" s="66"/>
      <c r="O35" s="59"/>
      <c r="P35" s="59"/>
      <c r="Q35" s="2"/>
      <c r="R35" s="2"/>
      <c r="S35" s="2"/>
      <c r="T35" s="2"/>
      <c r="U35" s="2"/>
      <c r="V35" s="2"/>
      <c r="W35" s="2"/>
      <c r="X35" s="2"/>
      <c r="Y35" s="2"/>
      <c r="Z35" s="2"/>
    </row>
    <row r="36" spans="1:26" ht="15.75" customHeight="1">
      <c r="A36" s="67" t="s">
        <v>56</v>
      </c>
      <c r="B36" s="68">
        <f t="shared" ref="B36:P36" si="22">SUM(B31:B34)</f>
        <v>0</v>
      </c>
      <c r="C36" s="68">
        <f t="shared" si="22"/>
        <v>0</v>
      </c>
      <c r="D36" s="68">
        <f t="shared" si="22"/>
        <v>0</v>
      </c>
      <c r="E36" s="68">
        <f t="shared" si="22"/>
        <v>0</v>
      </c>
      <c r="F36" s="68">
        <f t="shared" si="22"/>
        <v>0</v>
      </c>
      <c r="G36" s="68">
        <f t="shared" si="22"/>
        <v>0</v>
      </c>
      <c r="H36" s="68">
        <f t="shared" si="22"/>
        <v>0</v>
      </c>
      <c r="I36" s="68">
        <f t="shared" si="22"/>
        <v>0</v>
      </c>
      <c r="J36" s="68">
        <f t="shared" si="22"/>
        <v>0</v>
      </c>
      <c r="K36" s="68">
        <f t="shared" si="22"/>
        <v>0</v>
      </c>
      <c r="L36" s="68">
        <f t="shared" si="22"/>
        <v>0</v>
      </c>
      <c r="M36" s="68">
        <f t="shared" si="22"/>
        <v>0</v>
      </c>
      <c r="N36" s="68">
        <f t="shared" si="22"/>
        <v>0</v>
      </c>
      <c r="O36" s="68">
        <f t="shared" si="22"/>
        <v>0</v>
      </c>
      <c r="P36" s="68">
        <f t="shared" si="22"/>
        <v>0</v>
      </c>
      <c r="Q36" s="2"/>
      <c r="R36" s="2"/>
      <c r="S36" s="2"/>
      <c r="T36" s="2"/>
      <c r="U36" s="2"/>
      <c r="V36" s="2"/>
      <c r="W36" s="2"/>
      <c r="X36" s="2"/>
      <c r="Y36" s="2"/>
      <c r="Z36" s="2"/>
    </row>
    <row r="37" spans="1:26" ht="15.75" customHeight="1">
      <c r="A37" s="2"/>
      <c r="B37" s="9"/>
      <c r="C37" s="9"/>
      <c r="D37" s="9"/>
      <c r="E37" s="9"/>
      <c r="F37" s="9"/>
      <c r="G37" s="9"/>
      <c r="H37" s="9"/>
      <c r="I37" s="9"/>
      <c r="J37" s="9"/>
      <c r="K37" s="9"/>
      <c r="L37" s="9"/>
      <c r="M37" s="9"/>
      <c r="N37" s="10">
        <f>SUM(B37:M37)</f>
        <v>0</v>
      </c>
      <c r="O37" s="11"/>
      <c r="P37" s="11"/>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0:E10"/>
    <mergeCell ref="G10:J10"/>
    <mergeCell ref="B11:C11"/>
    <mergeCell ref="D11:E11"/>
    <mergeCell ref="G11:H11"/>
    <mergeCell ref="I11:J11"/>
  </mergeCells>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pane xSplit="1" ySplit="3" topLeftCell="C4" activePane="bottomRight" state="frozen"/>
      <selection pane="topRight" activeCell="B1" sqref="B1"/>
      <selection pane="bottomLeft" activeCell="A4" sqref="A4"/>
      <selection pane="bottomRight" activeCell="E24" sqref="A1:XFD1048576"/>
    </sheetView>
  </sheetViews>
  <sheetFormatPr baseColWidth="10" defaultColWidth="14.5" defaultRowHeight="15" customHeight="1" outlineLevelCol="1"/>
  <cols>
    <col min="1" max="1" width="43.83203125" customWidth="1"/>
    <col min="2" max="2" width="14.6640625" customWidth="1" outlineLevel="1"/>
    <col min="3" max="3" width="18.6640625" customWidth="1" outlineLevel="1"/>
    <col min="4" max="4" width="15.5" customWidth="1" outlineLevel="1"/>
    <col min="5" max="5" width="18" customWidth="1" outlineLevel="1"/>
    <col min="6" max="6" width="17.83203125" customWidth="1" outlineLevel="1"/>
    <col min="7" max="7" width="15.5" customWidth="1" outlineLevel="1"/>
    <col min="8" max="8" width="16.6640625" customWidth="1" outlineLevel="1"/>
    <col min="9" max="13" width="14.1640625" customWidth="1" outlineLevel="1"/>
    <col min="14" max="16" width="15.33203125" customWidth="1"/>
    <col min="17" max="26" width="8.5" customWidth="1"/>
  </cols>
  <sheetData>
    <row r="1" spans="1:26" ht="15.75" customHeight="1">
      <c r="A1" s="69" t="str">
        <f>Venture</f>
        <v>FitBox</v>
      </c>
      <c r="B1" s="2"/>
      <c r="C1" s="2"/>
      <c r="D1" s="2"/>
      <c r="E1" s="2"/>
      <c r="F1" s="2"/>
      <c r="G1" s="2"/>
      <c r="H1" s="2"/>
      <c r="I1" s="2"/>
      <c r="J1" s="2"/>
      <c r="K1" s="2"/>
      <c r="L1" s="2"/>
      <c r="M1" s="2"/>
      <c r="N1" s="3"/>
      <c r="O1" s="2"/>
      <c r="P1" s="2"/>
      <c r="Q1" s="2"/>
      <c r="R1" s="2"/>
      <c r="S1" s="2"/>
      <c r="T1" s="2"/>
      <c r="U1" s="2"/>
      <c r="V1" s="2"/>
      <c r="W1" s="2"/>
      <c r="X1" s="2"/>
      <c r="Y1" s="2"/>
      <c r="Z1" s="2"/>
    </row>
    <row r="2" spans="1:26" ht="15.75" customHeight="1">
      <c r="A2" s="3" t="s">
        <v>57</v>
      </c>
      <c r="B2" s="2"/>
      <c r="C2" s="2"/>
      <c r="D2" s="2"/>
      <c r="E2" s="2"/>
      <c r="F2" s="2"/>
      <c r="G2" s="2"/>
      <c r="H2" s="2"/>
      <c r="I2" s="2"/>
      <c r="J2" s="2"/>
      <c r="K2" s="2"/>
      <c r="L2" s="2"/>
      <c r="M2" s="2"/>
      <c r="N2" s="3"/>
      <c r="O2" s="2"/>
      <c r="P2" s="2"/>
      <c r="Q2" s="2"/>
      <c r="R2" s="2"/>
      <c r="S2" s="2"/>
      <c r="T2" s="2"/>
      <c r="U2" s="2"/>
      <c r="V2" s="2"/>
      <c r="W2" s="2"/>
      <c r="X2" s="2"/>
      <c r="Y2" s="2"/>
      <c r="Z2" s="2"/>
    </row>
    <row r="3" spans="1:26" ht="15.75" customHeight="1">
      <c r="A3" s="2"/>
      <c r="B3" s="70">
        <f>'Unit Economics'!B18</f>
        <v>45505</v>
      </c>
      <c r="C3" s="70">
        <f>'Unit Economics'!C18</f>
        <v>45536</v>
      </c>
      <c r="D3" s="70">
        <f>'Unit Economics'!D18</f>
        <v>45566</v>
      </c>
      <c r="E3" s="70">
        <f>'Unit Economics'!E18</f>
        <v>45597</v>
      </c>
      <c r="F3" s="70">
        <f>'Unit Economics'!F18</f>
        <v>45627</v>
      </c>
      <c r="G3" s="70">
        <f>'Unit Economics'!G18</f>
        <v>45658</v>
      </c>
      <c r="H3" s="70">
        <f>'Unit Economics'!H18</f>
        <v>45689</v>
      </c>
      <c r="I3" s="70">
        <f>'Unit Economics'!I18</f>
        <v>45717</v>
      </c>
      <c r="J3" s="70">
        <f>'Unit Economics'!J18</f>
        <v>45748</v>
      </c>
      <c r="K3" s="70">
        <f>'Unit Economics'!K18</f>
        <v>45778</v>
      </c>
      <c r="L3" s="70">
        <f>'Unit Economics'!L18</f>
        <v>45809</v>
      </c>
      <c r="M3" s="70">
        <f>'Unit Economics'!M18</f>
        <v>45839</v>
      </c>
      <c r="N3" s="71" t="str">
        <f>'Unit Economics'!N18</f>
        <v>2024-25</v>
      </c>
      <c r="O3" s="71" t="str">
        <f>'Unit Economics'!O18</f>
        <v>2025-26</v>
      </c>
      <c r="P3" s="71" t="str">
        <f>'Unit Economics'!P18</f>
        <v>2026-27</v>
      </c>
      <c r="Q3" s="2"/>
      <c r="R3" s="2"/>
      <c r="S3" s="2"/>
      <c r="T3" s="2"/>
      <c r="U3" s="2"/>
      <c r="V3" s="2"/>
      <c r="W3" s="2"/>
      <c r="X3" s="2"/>
      <c r="Y3" s="2"/>
      <c r="Z3" s="2"/>
    </row>
    <row r="4" spans="1:26" ht="15.75" customHeight="1">
      <c r="A4" s="3" t="s">
        <v>58</v>
      </c>
      <c r="B4" s="72">
        <f>'Unit Economics'!B28</f>
        <v>0</v>
      </c>
      <c r="C4" s="72">
        <f>'Unit Economics'!C28</f>
        <v>0</v>
      </c>
      <c r="D4" s="72">
        <f>'Unit Economics'!D28</f>
        <v>0</v>
      </c>
      <c r="E4" s="72">
        <f>'Unit Economics'!E28</f>
        <v>0</v>
      </c>
      <c r="F4" s="72">
        <f>'Unit Economics'!F28</f>
        <v>0</v>
      </c>
      <c r="G4" s="72">
        <f>'Unit Economics'!G28</f>
        <v>0</v>
      </c>
      <c r="H4" s="72">
        <f>'Unit Economics'!H28</f>
        <v>0</v>
      </c>
      <c r="I4" s="72">
        <f>'Unit Economics'!I28</f>
        <v>0</v>
      </c>
      <c r="J4" s="72">
        <f>'Unit Economics'!J28</f>
        <v>0</v>
      </c>
      <c r="K4" s="72">
        <f>'Unit Economics'!K28</f>
        <v>0</v>
      </c>
      <c r="L4" s="72">
        <f>'Unit Economics'!L28</f>
        <v>0</v>
      </c>
      <c r="M4" s="72">
        <f>'Unit Economics'!M28</f>
        <v>0</v>
      </c>
      <c r="N4" s="72">
        <f>'Unit Economics'!N28</f>
        <v>0</v>
      </c>
      <c r="O4" s="72">
        <f>'Unit Economics'!O28</f>
        <v>0</v>
      </c>
      <c r="P4" s="72">
        <f>'Unit Economics'!P28</f>
        <v>0</v>
      </c>
      <c r="Q4" s="2"/>
      <c r="R4" s="2"/>
      <c r="S4" s="2"/>
      <c r="T4" s="2"/>
      <c r="U4" s="2"/>
      <c r="V4" s="2"/>
      <c r="W4" s="2"/>
      <c r="X4" s="2"/>
      <c r="Y4" s="2"/>
      <c r="Z4" s="2"/>
    </row>
    <row r="5" spans="1:26" ht="15.75" customHeight="1">
      <c r="A5" s="2"/>
      <c r="B5" s="73"/>
      <c r="C5" s="73"/>
      <c r="D5" s="73"/>
      <c r="E5" s="73"/>
      <c r="F5" s="73"/>
      <c r="G5" s="73"/>
      <c r="H5" s="73"/>
      <c r="I5" s="73"/>
      <c r="J5" s="73"/>
      <c r="K5" s="73"/>
      <c r="L5" s="73"/>
      <c r="M5" s="73"/>
      <c r="N5" s="73"/>
      <c r="O5" s="73"/>
      <c r="P5" s="73"/>
      <c r="Q5" s="2"/>
      <c r="R5" s="2"/>
      <c r="S5" s="2"/>
      <c r="T5" s="2"/>
      <c r="U5" s="2"/>
      <c r="V5" s="2"/>
      <c r="W5" s="2"/>
      <c r="X5" s="2"/>
      <c r="Y5" s="2"/>
      <c r="Z5" s="2"/>
    </row>
    <row r="6" spans="1:26" ht="15.75" customHeight="1">
      <c r="A6" s="3" t="s">
        <v>59</v>
      </c>
      <c r="B6" s="72">
        <f>'Unit Economics'!B36</f>
        <v>0</v>
      </c>
      <c r="C6" s="72">
        <f>'Unit Economics'!C36</f>
        <v>0</v>
      </c>
      <c r="D6" s="72">
        <f>'Unit Economics'!D36</f>
        <v>0</v>
      </c>
      <c r="E6" s="72">
        <f>'Unit Economics'!E36</f>
        <v>0</v>
      </c>
      <c r="F6" s="72">
        <f>'Unit Economics'!F36</f>
        <v>0</v>
      </c>
      <c r="G6" s="72">
        <f>'Unit Economics'!G36</f>
        <v>0</v>
      </c>
      <c r="H6" s="72">
        <f>'Unit Economics'!H36</f>
        <v>0</v>
      </c>
      <c r="I6" s="72">
        <f>'Unit Economics'!I36</f>
        <v>0</v>
      </c>
      <c r="J6" s="72">
        <f>'Unit Economics'!J36</f>
        <v>0</v>
      </c>
      <c r="K6" s="72">
        <f>'Unit Economics'!K36</f>
        <v>0</v>
      </c>
      <c r="L6" s="72">
        <f>'Unit Economics'!L36</f>
        <v>0</v>
      </c>
      <c r="M6" s="72">
        <f>'Unit Economics'!M36</f>
        <v>0</v>
      </c>
      <c r="N6" s="72">
        <f>'Unit Economics'!N36</f>
        <v>0</v>
      </c>
      <c r="O6" s="72">
        <f>'Unit Economics'!O36</f>
        <v>0</v>
      </c>
      <c r="P6" s="72">
        <f>'Unit Economics'!P36</f>
        <v>0</v>
      </c>
      <c r="Q6" s="2"/>
      <c r="R6" s="2"/>
      <c r="S6" s="2"/>
      <c r="T6" s="2"/>
      <c r="U6" s="2"/>
      <c r="V6" s="2"/>
      <c r="W6" s="2"/>
      <c r="X6" s="2"/>
      <c r="Y6" s="2"/>
      <c r="Z6" s="2"/>
    </row>
    <row r="7" spans="1:26" ht="15.75" customHeight="1">
      <c r="A7" s="2" t="s">
        <v>60</v>
      </c>
      <c r="B7" s="74" t="str">
        <f t="shared" ref="B7:P7" si="0">IF(B4=0,"n/a",B6/B4)</f>
        <v>n/a</v>
      </c>
      <c r="C7" s="74" t="str">
        <f t="shared" si="0"/>
        <v>n/a</v>
      </c>
      <c r="D7" s="74" t="str">
        <f t="shared" si="0"/>
        <v>n/a</v>
      </c>
      <c r="E7" s="74" t="str">
        <f t="shared" si="0"/>
        <v>n/a</v>
      </c>
      <c r="F7" s="74" t="str">
        <f t="shared" si="0"/>
        <v>n/a</v>
      </c>
      <c r="G7" s="74" t="str">
        <f t="shared" si="0"/>
        <v>n/a</v>
      </c>
      <c r="H7" s="74" t="str">
        <f t="shared" si="0"/>
        <v>n/a</v>
      </c>
      <c r="I7" s="74" t="str">
        <f t="shared" si="0"/>
        <v>n/a</v>
      </c>
      <c r="J7" s="74" t="str">
        <f t="shared" si="0"/>
        <v>n/a</v>
      </c>
      <c r="K7" s="74" t="str">
        <f t="shared" si="0"/>
        <v>n/a</v>
      </c>
      <c r="L7" s="74" t="str">
        <f t="shared" si="0"/>
        <v>n/a</v>
      </c>
      <c r="M7" s="74" t="str">
        <f t="shared" si="0"/>
        <v>n/a</v>
      </c>
      <c r="N7" s="74" t="str">
        <f t="shared" si="0"/>
        <v>n/a</v>
      </c>
      <c r="O7" s="74" t="str">
        <f t="shared" si="0"/>
        <v>n/a</v>
      </c>
      <c r="P7" s="74" t="str">
        <f t="shared" si="0"/>
        <v>n/a</v>
      </c>
      <c r="Q7" s="2"/>
      <c r="R7" s="2"/>
      <c r="S7" s="2"/>
      <c r="T7" s="2"/>
      <c r="U7" s="2"/>
      <c r="V7" s="2"/>
      <c r="W7" s="2"/>
      <c r="X7" s="2"/>
      <c r="Y7" s="2"/>
      <c r="Z7" s="2"/>
    </row>
    <row r="8" spans="1:26" ht="15.75" customHeight="1">
      <c r="A8" s="3"/>
      <c r="B8" s="75"/>
      <c r="C8" s="75"/>
      <c r="D8" s="75"/>
      <c r="E8" s="75"/>
      <c r="F8" s="75"/>
      <c r="G8" s="75"/>
      <c r="H8" s="75"/>
      <c r="I8" s="75"/>
      <c r="J8" s="75"/>
      <c r="K8" s="75"/>
      <c r="L8" s="75"/>
      <c r="M8" s="75"/>
      <c r="N8" s="75"/>
      <c r="O8" s="75"/>
      <c r="P8" s="75"/>
      <c r="Q8" s="2"/>
      <c r="R8" s="2"/>
      <c r="S8" s="2"/>
      <c r="T8" s="2"/>
      <c r="U8" s="2"/>
      <c r="V8" s="2"/>
      <c r="W8" s="2"/>
      <c r="X8" s="2"/>
      <c r="Y8" s="2"/>
      <c r="Z8" s="2"/>
    </row>
    <row r="9" spans="1:26" ht="15.75" customHeight="1">
      <c r="A9" s="3" t="s">
        <v>61</v>
      </c>
      <c r="B9" s="72">
        <f t="shared" ref="B9:P9" si="1">B4-B6</f>
        <v>0</v>
      </c>
      <c r="C9" s="72">
        <f t="shared" si="1"/>
        <v>0</v>
      </c>
      <c r="D9" s="72">
        <f t="shared" si="1"/>
        <v>0</v>
      </c>
      <c r="E9" s="72">
        <f t="shared" si="1"/>
        <v>0</v>
      </c>
      <c r="F9" s="72">
        <f t="shared" si="1"/>
        <v>0</v>
      </c>
      <c r="G9" s="72">
        <f t="shared" si="1"/>
        <v>0</v>
      </c>
      <c r="H9" s="72">
        <f t="shared" si="1"/>
        <v>0</v>
      </c>
      <c r="I9" s="72">
        <f t="shared" si="1"/>
        <v>0</v>
      </c>
      <c r="J9" s="72">
        <f t="shared" si="1"/>
        <v>0</v>
      </c>
      <c r="K9" s="72">
        <f t="shared" si="1"/>
        <v>0</v>
      </c>
      <c r="L9" s="72">
        <f t="shared" si="1"/>
        <v>0</v>
      </c>
      <c r="M9" s="72">
        <f t="shared" si="1"/>
        <v>0</v>
      </c>
      <c r="N9" s="72">
        <f t="shared" si="1"/>
        <v>0</v>
      </c>
      <c r="O9" s="72">
        <f t="shared" si="1"/>
        <v>0</v>
      </c>
      <c r="P9" s="72">
        <f t="shared" si="1"/>
        <v>0</v>
      </c>
      <c r="Q9" s="2"/>
      <c r="R9" s="2"/>
      <c r="S9" s="2"/>
      <c r="T9" s="2"/>
      <c r="U9" s="2"/>
      <c r="V9" s="2"/>
      <c r="W9" s="2"/>
      <c r="X9" s="2"/>
      <c r="Y9" s="2"/>
      <c r="Z9" s="2"/>
    </row>
    <row r="10" spans="1:26" ht="15.75" customHeight="1">
      <c r="A10" s="2" t="s">
        <v>60</v>
      </c>
      <c r="B10" s="74" t="str">
        <f t="shared" ref="B10:P10" si="2">IF(B4=0,"n/a",B9/B4)</f>
        <v>n/a</v>
      </c>
      <c r="C10" s="74" t="str">
        <f t="shared" si="2"/>
        <v>n/a</v>
      </c>
      <c r="D10" s="74" t="str">
        <f t="shared" si="2"/>
        <v>n/a</v>
      </c>
      <c r="E10" s="74" t="str">
        <f t="shared" si="2"/>
        <v>n/a</v>
      </c>
      <c r="F10" s="74" t="str">
        <f t="shared" si="2"/>
        <v>n/a</v>
      </c>
      <c r="G10" s="74" t="str">
        <f t="shared" si="2"/>
        <v>n/a</v>
      </c>
      <c r="H10" s="74" t="str">
        <f t="shared" si="2"/>
        <v>n/a</v>
      </c>
      <c r="I10" s="74" t="str">
        <f t="shared" si="2"/>
        <v>n/a</v>
      </c>
      <c r="J10" s="74" t="str">
        <f t="shared" si="2"/>
        <v>n/a</v>
      </c>
      <c r="K10" s="74" t="str">
        <f t="shared" si="2"/>
        <v>n/a</v>
      </c>
      <c r="L10" s="74" t="str">
        <f t="shared" si="2"/>
        <v>n/a</v>
      </c>
      <c r="M10" s="74" t="str">
        <f t="shared" si="2"/>
        <v>n/a</v>
      </c>
      <c r="N10" s="74" t="str">
        <f t="shared" si="2"/>
        <v>n/a</v>
      </c>
      <c r="O10" s="74" t="str">
        <f t="shared" si="2"/>
        <v>n/a</v>
      </c>
      <c r="P10" s="74" t="str">
        <f t="shared" si="2"/>
        <v>n/a</v>
      </c>
      <c r="Q10" s="2"/>
      <c r="R10" s="2"/>
      <c r="S10" s="2"/>
      <c r="T10" s="2"/>
      <c r="U10" s="2"/>
      <c r="V10" s="2"/>
      <c r="W10" s="2"/>
      <c r="X10" s="2"/>
      <c r="Y10" s="2"/>
      <c r="Z10" s="2"/>
    </row>
    <row r="11" spans="1:26" ht="15.75" customHeight="1">
      <c r="A11" s="2"/>
      <c r="B11" s="76"/>
      <c r="C11" s="76"/>
      <c r="D11" s="76"/>
      <c r="E11" s="76"/>
      <c r="F11" s="76"/>
      <c r="G11" s="76"/>
      <c r="H11" s="76"/>
      <c r="I11" s="76"/>
      <c r="J11" s="76"/>
      <c r="K11" s="76"/>
      <c r="L11" s="76"/>
      <c r="M11" s="76"/>
      <c r="N11" s="76"/>
      <c r="O11" s="76"/>
      <c r="P11" s="76"/>
      <c r="Q11" s="2"/>
      <c r="R11" s="2"/>
      <c r="S11" s="2"/>
      <c r="T11" s="2"/>
      <c r="U11" s="2"/>
      <c r="V11" s="2"/>
      <c r="W11" s="2"/>
      <c r="X11" s="2"/>
      <c r="Y11" s="2"/>
      <c r="Z11" s="2"/>
    </row>
    <row r="12" spans="1:26" ht="15.75" customHeight="1">
      <c r="A12" s="3" t="s">
        <v>62</v>
      </c>
      <c r="B12" s="76"/>
      <c r="C12" s="76"/>
      <c r="D12" s="76"/>
      <c r="E12" s="76"/>
      <c r="F12" s="76"/>
      <c r="G12" s="76"/>
      <c r="H12" s="76"/>
      <c r="I12" s="76"/>
      <c r="J12" s="76"/>
      <c r="K12" s="76"/>
      <c r="L12" s="76"/>
      <c r="M12" s="76"/>
      <c r="N12" s="76"/>
      <c r="O12" s="76"/>
      <c r="P12" s="76"/>
      <c r="Q12" s="2"/>
      <c r="R12" s="2"/>
      <c r="S12" s="2"/>
      <c r="T12" s="2"/>
      <c r="U12" s="2"/>
      <c r="V12" s="2"/>
      <c r="W12" s="2"/>
      <c r="X12" s="2"/>
      <c r="Y12" s="2"/>
      <c r="Z12" s="2"/>
    </row>
    <row r="13" spans="1:26" ht="15.75" customHeight="1">
      <c r="A13" s="2" t="s">
        <v>63</v>
      </c>
      <c r="B13" s="72">
        <f>SalesMktg!B39</f>
        <v>3880</v>
      </c>
      <c r="C13" s="72">
        <f>SalesMktg!C39</f>
        <v>3880</v>
      </c>
      <c r="D13" s="72">
        <f>SalesMktg!D39</f>
        <v>3880</v>
      </c>
      <c r="E13" s="72">
        <f>SalesMktg!E39</f>
        <v>3880</v>
      </c>
      <c r="F13" s="72">
        <f>SalesMktg!F39</f>
        <v>3880</v>
      </c>
      <c r="G13" s="72">
        <f>SalesMktg!G39</f>
        <v>4480</v>
      </c>
      <c r="H13" s="72">
        <f>SalesMktg!H39</f>
        <v>4480</v>
      </c>
      <c r="I13" s="72">
        <f>SalesMktg!I39</f>
        <v>4480</v>
      </c>
      <c r="J13" s="72">
        <f>SalesMktg!J39</f>
        <v>4480</v>
      </c>
      <c r="K13" s="72">
        <f>SalesMktg!K39</f>
        <v>4480</v>
      </c>
      <c r="L13" s="72">
        <f>SalesMktg!L39</f>
        <v>3880</v>
      </c>
      <c r="M13" s="72">
        <f>SalesMktg!M39</f>
        <v>3880</v>
      </c>
      <c r="N13" s="72" t="e">
        <f>SalesMktg!N39</f>
        <v>#REF!</v>
      </c>
      <c r="O13" s="72" t="e">
        <f>SalesMktg!O39</f>
        <v>#REF!</v>
      </c>
      <c r="P13" s="72" t="e">
        <f>SalesMktg!P39</f>
        <v>#REF!</v>
      </c>
      <c r="Q13" s="2"/>
      <c r="R13" s="2"/>
      <c r="S13" s="2"/>
      <c r="T13" s="2"/>
      <c r="U13" s="2"/>
      <c r="V13" s="2"/>
      <c r="W13" s="2"/>
      <c r="X13" s="2"/>
      <c r="Y13" s="2"/>
      <c r="Z13" s="2"/>
    </row>
    <row r="14" spans="1:26" ht="15.75" customHeight="1">
      <c r="A14" s="26" t="s">
        <v>64</v>
      </c>
      <c r="B14" s="77">
        <v>15000</v>
      </c>
      <c r="C14" s="77">
        <v>15000</v>
      </c>
      <c r="D14" s="77">
        <v>15000</v>
      </c>
      <c r="E14" s="77">
        <v>15000</v>
      </c>
      <c r="F14" s="77">
        <v>15000</v>
      </c>
      <c r="G14" s="77">
        <v>16000</v>
      </c>
      <c r="H14" s="77">
        <v>16000</v>
      </c>
      <c r="I14" s="77">
        <v>16000</v>
      </c>
      <c r="J14" s="77">
        <v>16000</v>
      </c>
      <c r="K14" s="77">
        <v>16000</v>
      </c>
      <c r="L14" s="77">
        <v>16000</v>
      </c>
      <c r="M14" s="77">
        <v>16000</v>
      </c>
      <c r="N14" s="77">
        <v>18000</v>
      </c>
      <c r="O14" s="77">
        <v>20000</v>
      </c>
      <c r="P14" s="77">
        <v>22000</v>
      </c>
      <c r="Q14" s="2"/>
      <c r="R14" s="2"/>
      <c r="S14" s="2"/>
      <c r="T14" s="2"/>
      <c r="U14" s="2"/>
      <c r="V14" s="2"/>
      <c r="W14" s="2"/>
      <c r="X14" s="2"/>
      <c r="Y14" s="2"/>
      <c r="Z14" s="2"/>
    </row>
    <row r="15" spans="1:26" ht="15.75" customHeight="1">
      <c r="A15" s="51" t="s">
        <v>65</v>
      </c>
      <c r="B15" s="77">
        <v>5000</v>
      </c>
      <c r="C15" s="77">
        <v>5000</v>
      </c>
      <c r="D15" s="77">
        <v>5000</v>
      </c>
      <c r="E15" s="77">
        <v>5000</v>
      </c>
      <c r="F15" s="77">
        <v>5000</v>
      </c>
      <c r="G15" s="77">
        <v>5000</v>
      </c>
      <c r="H15" s="77">
        <v>5000</v>
      </c>
      <c r="I15" s="77">
        <v>5000</v>
      </c>
      <c r="J15" s="77">
        <v>5000</v>
      </c>
      <c r="K15" s="77">
        <v>5000</v>
      </c>
      <c r="L15" s="77">
        <v>5000</v>
      </c>
      <c r="M15" s="77">
        <v>5000</v>
      </c>
      <c r="N15" s="78">
        <f>SUM(B15:M15)</f>
        <v>60000</v>
      </c>
      <c r="O15" s="77">
        <v>70000</v>
      </c>
      <c r="P15" s="77">
        <v>80000</v>
      </c>
      <c r="Q15" s="2"/>
      <c r="R15" s="2"/>
      <c r="S15" s="2"/>
      <c r="T15" s="2"/>
      <c r="U15" s="2"/>
      <c r="V15" s="2"/>
      <c r="W15" s="2"/>
      <c r="X15" s="2"/>
      <c r="Y15" s="2"/>
      <c r="Z15" s="2"/>
    </row>
    <row r="16" spans="1:26" ht="15.75" customHeight="1">
      <c r="A16" s="3" t="s">
        <v>66</v>
      </c>
      <c r="B16" s="72">
        <f t="shared" ref="B16:P16" si="3">SUM(B13:B15)</f>
        <v>23880</v>
      </c>
      <c r="C16" s="72">
        <f t="shared" si="3"/>
        <v>23880</v>
      </c>
      <c r="D16" s="72">
        <f t="shared" si="3"/>
        <v>23880</v>
      </c>
      <c r="E16" s="72">
        <f t="shared" si="3"/>
        <v>23880</v>
      </c>
      <c r="F16" s="72">
        <f t="shared" si="3"/>
        <v>23880</v>
      </c>
      <c r="G16" s="72">
        <f t="shared" si="3"/>
        <v>25480</v>
      </c>
      <c r="H16" s="72">
        <f t="shared" si="3"/>
        <v>25480</v>
      </c>
      <c r="I16" s="72">
        <f t="shared" si="3"/>
        <v>25480</v>
      </c>
      <c r="J16" s="72">
        <f t="shared" si="3"/>
        <v>25480</v>
      </c>
      <c r="K16" s="72">
        <f t="shared" si="3"/>
        <v>25480</v>
      </c>
      <c r="L16" s="72">
        <f t="shared" si="3"/>
        <v>24880</v>
      </c>
      <c r="M16" s="72">
        <f t="shared" si="3"/>
        <v>24880</v>
      </c>
      <c r="N16" s="72" t="e">
        <f t="shared" si="3"/>
        <v>#REF!</v>
      </c>
      <c r="O16" s="72" t="e">
        <f t="shared" si="3"/>
        <v>#REF!</v>
      </c>
      <c r="P16" s="72" t="e">
        <f t="shared" si="3"/>
        <v>#REF!</v>
      </c>
      <c r="Q16" s="2"/>
      <c r="R16" s="76"/>
      <c r="S16" s="76"/>
      <c r="T16" s="76"/>
      <c r="U16" s="76"/>
      <c r="V16" s="76"/>
      <c r="W16" s="2"/>
      <c r="X16" s="2"/>
      <c r="Y16" s="2"/>
      <c r="Z16" s="2"/>
    </row>
    <row r="17" spans="1:26" ht="15.75" customHeight="1">
      <c r="A17" s="2" t="s">
        <v>60</v>
      </c>
      <c r="B17" s="74" t="str">
        <f t="shared" ref="B17:P17" si="4">IF(B$4=0,"n/a",B16/B$4)</f>
        <v>n/a</v>
      </c>
      <c r="C17" s="74" t="str">
        <f t="shared" si="4"/>
        <v>n/a</v>
      </c>
      <c r="D17" s="74" t="str">
        <f t="shared" si="4"/>
        <v>n/a</v>
      </c>
      <c r="E17" s="74" t="str">
        <f t="shared" si="4"/>
        <v>n/a</v>
      </c>
      <c r="F17" s="74" t="str">
        <f t="shared" si="4"/>
        <v>n/a</v>
      </c>
      <c r="G17" s="74" t="str">
        <f t="shared" si="4"/>
        <v>n/a</v>
      </c>
      <c r="H17" s="74" t="str">
        <f t="shared" si="4"/>
        <v>n/a</v>
      </c>
      <c r="I17" s="74" t="str">
        <f t="shared" si="4"/>
        <v>n/a</v>
      </c>
      <c r="J17" s="74" t="str">
        <f t="shared" si="4"/>
        <v>n/a</v>
      </c>
      <c r="K17" s="74" t="str">
        <f t="shared" si="4"/>
        <v>n/a</v>
      </c>
      <c r="L17" s="74" t="str">
        <f t="shared" si="4"/>
        <v>n/a</v>
      </c>
      <c r="M17" s="74" t="str">
        <f t="shared" si="4"/>
        <v>n/a</v>
      </c>
      <c r="N17" s="74" t="str">
        <f t="shared" si="4"/>
        <v>n/a</v>
      </c>
      <c r="O17" s="74" t="str">
        <f t="shared" si="4"/>
        <v>n/a</v>
      </c>
      <c r="P17" s="74" t="str">
        <f t="shared" si="4"/>
        <v>n/a</v>
      </c>
      <c r="Q17" s="2"/>
      <c r="R17" s="2"/>
      <c r="S17" s="2"/>
      <c r="T17" s="2"/>
      <c r="U17" s="2"/>
      <c r="V17" s="2"/>
      <c r="W17" s="2"/>
      <c r="X17" s="2"/>
      <c r="Y17" s="2"/>
      <c r="Z17" s="2"/>
    </row>
    <row r="18" spans="1:26" ht="15.75" customHeight="1">
      <c r="A18" s="2"/>
      <c r="B18" s="76"/>
      <c r="C18" s="76"/>
      <c r="D18" s="76"/>
      <c r="E18" s="76"/>
      <c r="F18" s="76"/>
      <c r="G18" s="76"/>
      <c r="H18" s="76"/>
      <c r="I18" s="76"/>
      <c r="J18" s="76"/>
      <c r="K18" s="76"/>
      <c r="L18" s="76"/>
      <c r="M18" s="76"/>
      <c r="N18" s="76"/>
      <c r="O18" s="76"/>
      <c r="P18" s="76"/>
      <c r="Q18" s="2"/>
      <c r="R18" s="2"/>
      <c r="S18" s="2"/>
      <c r="T18" s="2"/>
      <c r="U18" s="2"/>
      <c r="V18" s="2"/>
      <c r="W18" s="2"/>
      <c r="X18" s="2"/>
      <c r="Y18" s="2"/>
      <c r="Z18" s="2"/>
    </row>
    <row r="19" spans="1:26" ht="15.75" customHeight="1">
      <c r="A19" s="3" t="s">
        <v>67</v>
      </c>
      <c r="B19" s="79">
        <f t="shared" ref="B19:P19" si="5">B9-B16</f>
        <v>-23880</v>
      </c>
      <c r="C19" s="79">
        <f t="shared" si="5"/>
        <v>-23880</v>
      </c>
      <c r="D19" s="79">
        <f t="shared" si="5"/>
        <v>-23880</v>
      </c>
      <c r="E19" s="79">
        <f t="shared" si="5"/>
        <v>-23880</v>
      </c>
      <c r="F19" s="79">
        <f t="shared" si="5"/>
        <v>-23880</v>
      </c>
      <c r="G19" s="79">
        <f t="shared" si="5"/>
        <v>-25480</v>
      </c>
      <c r="H19" s="79">
        <f t="shared" si="5"/>
        <v>-25480</v>
      </c>
      <c r="I19" s="79">
        <f t="shared" si="5"/>
        <v>-25480</v>
      </c>
      <c r="J19" s="79">
        <f t="shared" si="5"/>
        <v>-25480</v>
      </c>
      <c r="K19" s="79">
        <f t="shared" si="5"/>
        <v>-25480</v>
      </c>
      <c r="L19" s="79">
        <f t="shared" si="5"/>
        <v>-24880</v>
      </c>
      <c r="M19" s="79">
        <f t="shared" si="5"/>
        <v>-24880</v>
      </c>
      <c r="N19" s="79" t="e">
        <f t="shared" si="5"/>
        <v>#REF!</v>
      </c>
      <c r="O19" s="79" t="e">
        <f t="shared" si="5"/>
        <v>#REF!</v>
      </c>
      <c r="P19" s="79" t="e">
        <f t="shared" si="5"/>
        <v>#REF!</v>
      </c>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76"/>
      <c r="O20" s="76"/>
      <c r="P20" s="76"/>
      <c r="Q20" s="2"/>
      <c r="R20" s="2"/>
      <c r="S20" s="2"/>
      <c r="T20" s="2"/>
      <c r="U20" s="2"/>
      <c r="V20" s="2"/>
      <c r="W20" s="2"/>
      <c r="X20" s="2"/>
      <c r="Y20" s="2"/>
      <c r="Z20" s="2"/>
    </row>
    <row r="21" spans="1:26" ht="15.75" customHeight="1">
      <c r="A21" s="8" t="s">
        <v>68</v>
      </c>
      <c r="B21" s="80">
        <f t="shared" ref="B21:P21" si="6">IF(B19*$A$22&lt;0,0,B19*$A$22)</f>
        <v>0</v>
      </c>
      <c r="C21" s="80">
        <f t="shared" si="6"/>
        <v>0</v>
      </c>
      <c r="D21" s="80">
        <f t="shared" si="6"/>
        <v>0</v>
      </c>
      <c r="E21" s="80">
        <f t="shared" si="6"/>
        <v>0</v>
      </c>
      <c r="F21" s="80">
        <f t="shared" si="6"/>
        <v>0</v>
      </c>
      <c r="G21" s="80">
        <f t="shared" si="6"/>
        <v>0</v>
      </c>
      <c r="H21" s="80">
        <f t="shared" si="6"/>
        <v>0</v>
      </c>
      <c r="I21" s="80">
        <f t="shared" si="6"/>
        <v>0</v>
      </c>
      <c r="J21" s="80">
        <f t="shared" si="6"/>
        <v>0</v>
      </c>
      <c r="K21" s="80">
        <f t="shared" si="6"/>
        <v>0</v>
      </c>
      <c r="L21" s="80">
        <f t="shared" si="6"/>
        <v>0</v>
      </c>
      <c r="M21" s="80">
        <f t="shared" si="6"/>
        <v>0</v>
      </c>
      <c r="N21" s="80" t="e">
        <f t="shared" si="6"/>
        <v>#REF!</v>
      </c>
      <c r="O21" s="80" t="e">
        <f t="shared" si="6"/>
        <v>#REF!</v>
      </c>
      <c r="P21" s="80" t="e">
        <f t="shared" si="6"/>
        <v>#REF!</v>
      </c>
      <c r="Q21" s="2"/>
      <c r="R21" s="2"/>
      <c r="S21" s="2"/>
      <c r="T21" s="2"/>
      <c r="U21" s="2"/>
      <c r="V21" s="2"/>
      <c r="W21" s="2"/>
      <c r="X21" s="2"/>
      <c r="Y21" s="2"/>
      <c r="Z21" s="2"/>
    </row>
    <row r="22" spans="1:26" ht="15.75" customHeight="1">
      <c r="A22" s="81">
        <v>0.25</v>
      </c>
      <c r="B22" s="2"/>
      <c r="C22" s="2"/>
      <c r="D22" s="2"/>
      <c r="E22" s="2"/>
      <c r="F22" s="2"/>
      <c r="G22" s="2"/>
      <c r="H22" s="2"/>
      <c r="I22" s="2"/>
      <c r="J22" s="2"/>
      <c r="K22" s="2"/>
      <c r="L22" s="2"/>
      <c r="M22" s="2"/>
      <c r="N22" s="76"/>
      <c r="O22" s="76"/>
      <c r="P22" s="76"/>
      <c r="Q22" s="2"/>
      <c r="R22" s="2"/>
      <c r="S22" s="2"/>
      <c r="T22" s="2"/>
      <c r="U22" s="2"/>
      <c r="V22" s="2"/>
      <c r="W22" s="2"/>
      <c r="X22" s="2"/>
      <c r="Y22" s="2"/>
      <c r="Z22" s="2"/>
    </row>
    <row r="23" spans="1:26" ht="15.75" customHeight="1">
      <c r="A23" s="3" t="s">
        <v>69</v>
      </c>
      <c r="B23" s="82">
        <f t="shared" ref="B23:P23" si="7">B19-B21</f>
        <v>-23880</v>
      </c>
      <c r="C23" s="82">
        <f t="shared" si="7"/>
        <v>-23880</v>
      </c>
      <c r="D23" s="82">
        <f t="shared" si="7"/>
        <v>-23880</v>
      </c>
      <c r="E23" s="82">
        <f t="shared" si="7"/>
        <v>-23880</v>
      </c>
      <c r="F23" s="82">
        <f t="shared" si="7"/>
        <v>-23880</v>
      </c>
      <c r="G23" s="82">
        <f t="shared" si="7"/>
        <v>-25480</v>
      </c>
      <c r="H23" s="82">
        <f t="shared" si="7"/>
        <v>-25480</v>
      </c>
      <c r="I23" s="82">
        <f t="shared" si="7"/>
        <v>-25480</v>
      </c>
      <c r="J23" s="82">
        <f t="shared" si="7"/>
        <v>-25480</v>
      </c>
      <c r="K23" s="82">
        <f t="shared" si="7"/>
        <v>-25480</v>
      </c>
      <c r="L23" s="82">
        <f t="shared" si="7"/>
        <v>-24880</v>
      </c>
      <c r="M23" s="82">
        <f t="shared" si="7"/>
        <v>-24880</v>
      </c>
      <c r="N23" s="82" t="e">
        <f t="shared" si="7"/>
        <v>#REF!</v>
      </c>
      <c r="O23" s="82" t="e">
        <f t="shared" si="7"/>
        <v>#REF!</v>
      </c>
      <c r="P23" s="82" t="e">
        <f t="shared" si="7"/>
        <v>#REF!</v>
      </c>
      <c r="Q23" s="2"/>
      <c r="R23" s="2"/>
      <c r="S23" s="2"/>
      <c r="T23" s="2"/>
      <c r="U23" s="2"/>
      <c r="V23" s="2"/>
      <c r="W23" s="2"/>
      <c r="X23" s="2"/>
      <c r="Y23" s="2"/>
      <c r="Z23" s="2"/>
    </row>
    <row r="24" spans="1:26" ht="15.75" customHeight="1">
      <c r="A24" s="2" t="s">
        <v>60</v>
      </c>
      <c r="B24" s="83" t="str">
        <f t="shared" ref="B24:P24" si="8">IF(B$4=0,"n/a",B23/B$4)</f>
        <v>n/a</v>
      </c>
      <c r="C24" s="83" t="str">
        <f t="shared" si="8"/>
        <v>n/a</v>
      </c>
      <c r="D24" s="83" t="str">
        <f t="shared" si="8"/>
        <v>n/a</v>
      </c>
      <c r="E24" s="83" t="str">
        <f t="shared" si="8"/>
        <v>n/a</v>
      </c>
      <c r="F24" s="83" t="str">
        <f t="shared" si="8"/>
        <v>n/a</v>
      </c>
      <c r="G24" s="83" t="str">
        <f t="shared" si="8"/>
        <v>n/a</v>
      </c>
      <c r="H24" s="83" t="str">
        <f t="shared" si="8"/>
        <v>n/a</v>
      </c>
      <c r="I24" s="83" t="str">
        <f t="shared" si="8"/>
        <v>n/a</v>
      </c>
      <c r="J24" s="83" t="str">
        <f t="shared" si="8"/>
        <v>n/a</v>
      </c>
      <c r="K24" s="83" t="str">
        <f t="shared" si="8"/>
        <v>n/a</v>
      </c>
      <c r="L24" s="83" t="str">
        <f t="shared" si="8"/>
        <v>n/a</v>
      </c>
      <c r="M24" s="83" t="str">
        <f t="shared" si="8"/>
        <v>n/a</v>
      </c>
      <c r="N24" s="74" t="str">
        <f t="shared" si="8"/>
        <v>n/a</v>
      </c>
      <c r="O24" s="74" t="str">
        <f t="shared" si="8"/>
        <v>n/a</v>
      </c>
      <c r="P24" s="74" t="str">
        <f t="shared" si="8"/>
        <v>n/a</v>
      </c>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76"/>
      <c r="O26" s="76"/>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76"/>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0.5" bottom="0.5" header="0" footer="0"/>
  <pageSetup scale="41" orientation="landscape"/>
  <headerFooter>
    <oddHeader>&amp;C&amp;F&amp;R&amp;D &amp;T</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SalesMktg</vt:lpstr>
      <vt:lpstr>Unit Economics</vt:lpstr>
      <vt:lpstr>P&amp;L</vt:lpstr>
      <vt:lpstr>Month1</vt:lpstr>
      <vt:lpstr>Month10</vt:lpstr>
      <vt:lpstr>Month11</vt:lpstr>
      <vt:lpstr>Month12</vt:lpstr>
      <vt:lpstr>Month2</vt:lpstr>
      <vt:lpstr>Month3</vt:lpstr>
      <vt:lpstr>Month4</vt:lpstr>
      <vt:lpstr>Month5</vt:lpstr>
      <vt:lpstr>Month6</vt:lpstr>
      <vt:lpstr>Month7</vt:lpstr>
      <vt:lpstr>Month8</vt:lpstr>
      <vt:lpstr>Month9</vt:lpstr>
      <vt:lpstr>Venture</vt:lpstr>
      <vt:lpstr>Year_1</vt:lpstr>
      <vt:lpstr>Year1</vt:lpstr>
      <vt:lpstr>Year2</vt:lpstr>
      <vt:lpstr>Year3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Babin</dc:creator>
  <cp:lastModifiedBy>Chen, Henry</cp:lastModifiedBy>
  <cp:lastPrinted>2025-12-24T00:08:11Z</cp:lastPrinted>
  <dcterms:created xsi:type="dcterms:W3CDTF">2024-02-04T18:59:14Z</dcterms:created>
  <dcterms:modified xsi:type="dcterms:W3CDTF">2025-12-30T20:35:04Z</dcterms:modified>
</cp:coreProperties>
</file>